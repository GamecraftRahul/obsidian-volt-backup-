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Obsidian Vault\ISMS\PGDM FY ( TREAM 1)\Excel training\CLG SOURCE\"/>
    </mc:Choice>
  </mc:AlternateContent>
  <xr:revisionPtr revIDLastSave="0" documentId="13_ncr:1_{2FD7DC09-6C27-4972-8D5C-6F3D0ABF1C93}" xr6:coauthVersionLast="47" xr6:coauthVersionMax="47" xr10:uidLastSave="{00000000-0000-0000-0000-000000000000}"/>
  <bookViews>
    <workbookView xWindow="-108" yWindow="-108" windowWidth="23256" windowHeight="14616" activeTab="2" xr2:uid="{E8899D08-E41A-4E73-A0BC-0A1E6DFFE7E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E2" i="3"/>
  <c r="D2" i="3"/>
  <c r="C2" i="3"/>
  <c r="E3" i="3"/>
  <c r="E4" i="3"/>
  <c r="E5" i="3"/>
  <c r="D3" i="3"/>
  <c r="D4" i="3"/>
  <c r="D5" i="3"/>
  <c r="C3" i="3"/>
  <c r="C4" i="3"/>
  <c r="C5" i="3"/>
  <c r="I22" i="2"/>
  <c r="I23" i="2"/>
  <c r="I24" i="2"/>
  <c r="I25" i="2"/>
  <c r="I26" i="2"/>
  <c r="I27" i="2"/>
  <c r="I28" i="2"/>
  <c r="I29" i="2"/>
  <c r="F30" i="2"/>
  <c r="G30" i="2"/>
  <c r="F2" i="2"/>
  <c r="F3" i="2"/>
  <c r="F4" i="2"/>
  <c r="F5" i="2"/>
  <c r="F6" i="2"/>
  <c r="F7" i="2"/>
  <c r="F8" i="2"/>
  <c r="F9" i="2"/>
  <c r="G2" i="2"/>
  <c r="G3" i="2"/>
  <c r="G4" i="2"/>
  <c r="G5" i="2"/>
  <c r="G6" i="2"/>
  <c r="G7" i="2"/>
  <c r="G8" i="2"/>
  <c r="G9" i="2"/>
  <c r="D3" i="1"/>
  <c r="D2" i="1"/>
  <c r="C2" i="1"/>
  <c r="C3" i="1"/>
  <c r="C4" i="1"/>
  <c r="C5" i="1"/>
</calcChain>
</file>

<file path=xl/sharedStrings.xml><?xml version="1.0" encoding="utf-8"?>
<sst xmlns="http://schemas.openxmlformats.org/spreadsheetml/2006/main" count="93" uniqueCount="57">
  <si>
    <t>Regine</t>
  </si>
  <si>
    <t>point</t>
  </si>
  <si>
    <t>EAST</t>
  </si>
  <si>
    <t>WEST</t>
  </si>
  <si>
    <t>NORTH</t>
  </si>
  <si>
    <t>SOUTH</t>
  </si>
  <si>
    <t>TOTAL</t>
  </si>
  <si>
    <t>sr no.</t>
  </si>
  <si>
    <t xml:space="preserve"> direction's </t>
  </si>
  <si>
    <t>Name</t>
  </si>
  <si>
    <t>Sales</t>
  </si>
  <si>
    <t>CC</t>
  </si>
  <si>
    <t xml:space="preserve">Ravi </t>
  </si>
  <si>
    <t xml:space="preserve">Ajay </t>
  </si>
  <si>
    <t>vijay</t>
  </si>
  <si>
    <t>Ram</t>
  </si>
  <si>
    <t xml:space="preserve">vijay </t>
  </si>
  <si>
    <t>praful</t>
  </si>
  <si>
    <t xml:space="preserve">mehul </t>
  </si>
  <si>
    <t>rekha</t>
  </si>
  <si>
    <t>east</t>
  </si>
  <si>
    <t>weast</t>
  </si>
  <si>
    <t>north</t>
  </si>
  <si>
    <t>south</t>
  </si>
  <si>
    <t>Bones</t>
  </si>
  <si>
    <t>sales required</t>
  </si>
  <si>
    <t>min CC</t>
  </si>
  <si>
    <t xml:space="preserve">bones </t>
  </si>
  <si>
    <t>remaining</t>
  </si>
  <si>
    <t>change in polices</t>
  </si>
  <si>
    <t>Total</t>
  </si>
  <si>
    <t>exp</t>
  </si>
  <si>
    <t>salary</t>
  </si>
  <si>
    <t>else</t>
  </si>
  <si>
    <t>expense</t>
  </si>
  <si>
    <t xml:space="preserve">first </t>
  </si>
  <si>
    <t>Last</t>
  </si>
  <si>
    <t xml:space="preserve">Full </t>
  </si>
  <si>
    <t xml:space="preserve">Raj </t>
  </si>
  <si>
    <t>Kapoor</t>
  </si>
  <si>
    <t>Uvi</t>
  </si>
  <si>
    <t>Sharma</t>
  </si>
  <si>
    <t>Kavya</t>
  </si>
  <si>
    <t>Mishra</t>
  </si>
  <si>
    <t>Dipak</t>
  </si>
  <si>
    <t xml:space="preserve"> Thakur</t>
  </si>
  <si>
    <t>2 nd try</t>
  </si>
  <si>
    <t>3rn methode</t>
  </si>
  <si>
    <t xml:space="preserve">midel name </t>
  </si>
  <si>
    <t>last name</t>
  </si>
  <si>
    <t xml:space="preserve">full name </t>
  </si>
  <si>
    <t xml:space="preserve">Rahul </t>
  </si>
  <si>
    <t>Kulkarni</t>
  </si>
  <si>
    <t>Ravi</t>
  </si>
  <si>
    <t>kumar</t>
  </si>
  <si>
    <t xml:space="preserve">First Name </t>
  </si>
  <si>
    <t>Kushal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</si>
</sst>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justify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40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C78F9-9CBB-43D5-ADEC-73925900EAE3}" name="Table1" displayName="Table1" ref="A1:G9" totalsRowShown="0" headerRowDxfId="33" dataDxfId="34">
  <autoFilter ref="A1:G9" xr:uid="{61AC78F9-9CBB-43D5-ADEC-73925900EAE3}"/>
  <tableColumns count="7">
    <tableColumn id="1" xr3:uid="{6DFA14BB-6073-48AA-892D-1FC5FAC205D3}" name="sr no." dataDxfId="39"/>
    <tableColumn id="2" xr3:uid="{09B0D5CB-3854-4C9A-A755-5B9E177267C3}" name="Name" dataDxfId="38"/>
    <tableColumn id="3" xr3:uid="{9ED161A3-37DD-49E4-A9F1-E32B2A4B49D3}" name=" direction's " dataDxfId="37"/>
    <tableColumn id="4" xr3:uid="{AE6C2120-A53D-479B-8D85-B4515A2F7EC0}" name="Sales" dataDxfId="36"/>
    <tableColumn id="5" xr3:uid="{CA10C443-6CA9-442E-9D43-BB794F3CDEBC}" name="CC" dataDxfId="35"/>
    <tableColumn id="6" xr3:uid="{E1229AD3-A6F3-4425-A941-D6720C900C43}" name="Bones" dataDxfId="19">
      <calculatedColumnFormula>IF(OR(Table1[[#This Row],[Sales]]&lt;=$I$14,Table1[[#This Row],[CC]]&lt;=$I$15),$I$16,$I$17)</calculatedColumnFormula>
    </tableColumn>
    <tableColumn id="7" xr3:uid="{4B7AF343-BC89-469D-920A-3FE880B5BC86}" name="change in polices" dataDxfId="32">
      <calculatedColumnFormula>IF(AND(Table1[[#This Row],[Sales]]&gt;=$I$14,Table1[[#This Row],[CC]]&lt;=$I$15),$I$16,$I$17)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D5FDC-F6E4-4348-B2D1-DDB18D1EFD35}" name="Table3" displayName="Table3" ref="A21:I30" totalsRowCount="1" headerRowDxfId="20" dataDxfId="21" headerRowBorderDxfId="30" tableBorderDxfId="31" totalsRowBorderDxfId="29">
  <autoFilter ref="A21:I29" xr:uid="{88CD5FDC-F6E4-4348-B2D1-DDB18D1EFD35}"/>
  <tableColumns count="9">
    <tableColumn id="1" xr3:uid="{D051F378-3107-4931-A5C2-418D1C1AE30B}" name="sr no." totalsRowLabel="Total" dataDxfId="28" totalsRowDxfId="12"/>
    <tableColumn id="2" xr3:uid="{7BAA1871-2C8B-4AC4-9301-02674506F2EA}" name="Name" dataDxfId="27" totalsRowDxfId="13"/>
    <tableColumn id="3" xr3:uid="{4B282B04-5C37-4CB1-ACBC-E766F2B6AD94}" name=" direction's " dataDxfId="26" totalsRowDxfId="14"/>
    <tableColumn id="4" xr3:uid="{71A96920-2B0A-4695-BADD-15FCB6767D55}" name="Sales" dataDxfId="25" totalsRowDxfId="15"/>
    <tableColumn id="5" xr3:uid="{32D1D996-5584-4B91-8837-437B25581DA0}" name="CC" dataDxfId="24" totalsRowDxfId="16"/>
    <tableColumn id="6" xr3:uid="{990DBAAE-213E-46FF-AB83-35CF8367987D}" name="Bones" totalsRowFunction="custom" dataDxfId="23" totalsRowDxfId="17">
      <totalsRowFormula>SUM(Table3[Bones])</totalsRowFormula>
    </tableColumn>
    <tableColumn id="7" xr3:uid="{6F9363FD-06CA-42CE-830C-D878CCDCF0A8}" name="change in polices" totalsRowFunction="sum" dataDxfId="22" totalsRowDxfId="18"/>
    <tableColumn id="8" xr3:uid="{9AC6E63C-8C4B-410A-9246-3E9FA8FA3E50}" name="expense" dataDxfId="11" totalsRowDxfId="10"/>
    <tableColumn id="9" xr3:uid="{746B59DF-7C34-475A-B6C6-E701F25F606E}" name="salary" dataDxfId="8" totalsRowDxfId="9">
      <calculatedColumnFormula>IF(AND(Table3[[#This Row],[expense]]&lt;$M$26,Table3[[#This Row],[expense]]&gt;$M$27),$M$28,$M$29)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534C78-F1C6-4118-92DF-B06685442D1B}" name="Table5" displayName="Table5" ref="A7:D11" totalsRowShown="0" headerRowDxfId="4" headerRowBorderDxfId="2" tableBorderDxfId="3" totalsRowBorderDxfId="1">
  <autoFilter ref="A7:D11" xr:uid="{D4534C78-F1C6-4118-92DF-B06685442D1B}"/>
  <tableColumns count="4">
    <tableColumn id="1" xr3:uid="{C3D5E930-74E8-492A-B72A-C8ED95AF5FC3}" name="First Name " dataDxfId="7"/>
    <tableColumn id="2" xr3:uid="{47254F64-0D29-4E9F-9720-783CAF5E222E}" name="midel name " dataDxfId="6"/>
    <tableColumn id="3" xr3:uid="{66406B99-7F8C-471C-B23D-6C7A761644A6}" name="last name" dataDxfId="5"/>
    <tableColumn id="4" xr3:uid="{65B5B06B-98B5-4597-9BE4-1C75F2F85794}" name="full name " dataDxfId="0">
      <calculatedColumnFormula>_xlfn.CONCAT(Table5[[#This Row],[First Name ]],IF(Table5[[#This Row],[midel name ]]="",""," "),Table5[[#This Row],[midel name ]]," ",Table5[[#This Row],[last name]])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7A76-E711-4C82-B1AE-4FD5983F8D1A}">
  <dimension ref="A1:E5"/>
  <sheetViews>
    <sheetView zoomScale="318" zoomScaleNormal="318" workbookViewId="0">
      <selection activeCell="B6" sqref="B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6</v>
      </c>
    </row>
    <row r="2" spans="1:5" x14ac:dyDescent="0.3">
      <c r="A2" t="s">
        <v>2</v>
      </c>
      <c r="B2">
        <v>1</v>
      </c>
      <c r="C2">
        <f>B2+100</f>
        <v>101</v>
      </c>
      <c r="D2">
        <f>B2+B3+B4+B5+100</f>
        <v>110</v>
      </c>
    </row>
    <row r="3" spans="1:5" x14ac:dyDescent="0.3">
      <c r="A3" t="s">
        <v>3</v>
      </c>
      <c r="B3">
        <v>2</v>
      </c>
      <c r="C3">
        <f t="shared" ref="C3:C5" si="0">B3+100</f>
        <v>102</v>
      </c>
      <c r="D3">
        <f>SUM(B2:B5)+100</f>
        <v>110</v>
      </c>
    </row>
    <row r="4" spans="1:5" ht="15.6" x14ac:dyDescent="0.3">
      <c r="A4" t="s">
        <v>4</v>
      </c>
      <c r="B4">
        <v>3</v>
      </c>
      <c r="C4">
        <f t="shared" si="0"/>
        <v>103</v>
      </c>
      <c r="E4" s="1"/>
    </row>
    <row r="5" spans="1:5" x14ac:dyDescent="0.3">
      <c r="A5" t="s">
        <v>5</v>
      </c>
      <c r="B5">
        <v>4</v>
      </c>
      <c r="C5">
        <f t="shared" si="0"/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F6B9-E5EC-4181-8199-E43AFF740F82}">
  <dimension ref="A1:M30"/>
  <sheetViews>
    <sheetView topLeftCell="D20" zoomScale="175" zoomScaleNormal="100" workbookViewId="0">
      <selection activeCell="L23" sqref="L23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5" bestFit="1" customWidth="1"/>
    <col min="4" max="4" width="10" bestFit="1" customWidth="1"/>
    <col min="5" max="5" width="7.88671875" bestFit="1" customWidth="1"/>
    <col min="6" max="6" width="10.44140625" bestFit="1" customWidth="1"/>
    <col min="7" max="7" width="19.77734375" bestFit="1" customWidth="1"/>
    <col min="8" max="8" width="12.33203125" bestFit="1" customWidth="1"/>
  </cols>
  <sheetData>
    <row r="1" spans="1:11" x14ac:dyDescent="0.3">
      <c r="A1" s="2" t="s">
        <v>7</v>
      </c>
      <c r="B1" s="2" t="s">
        <v>9</v>
      </c>
      <c r="C1" s="2" t="s">
        <v>8</v>
      </c>
      <c r="D1" s="2" t="s">
        <v>10</v>
      </c>
      <c r="E1" s="2" t="s">
        <v>11</v>
      </c>
      <c r="F1" s="2" t="s">
        <v>24</v>
      </c>
      <c r="G1" s="2" t="s">
        <v>29</v>
      </c>
      <c r="H1" s="2"/>
      <c r="I1" s="2"/>
      <c r="J1" s="2"/>
      <c r="K1" s="2"/>
    </row>
    <row r="2" spans="1:11" x14ac:dyDescent="0.3">
      <c r="A2" s="2">
        <v>1</v>
      </c>
      <c r="B2" s="2" t="s">
        <v>12</v>
      </c>
      <c r="C2" s="2" t="s">
        <v>20</v>
      </c>
      <c r="D2" s="2">
        <v>5</v>
      </c>
      <c r="E2" s="2">
        <v>8</v>
      </c>
      <c r="F2" s="2">
        <f>IF(OR(Table1[[#This Row],[Sales]]&lt;=$I$14,Table1[[#This Row],[CC]]&lt;=$I$15),$I$16,$I$17)</f>
        <v>400</v>
      </c>
      <c r="G2" s="2">
        <f>IF(AND(Table1[[#This Row],[Sales]]&gt;=$I$14,Table1[[#This Row],[CC]]&lt;=$I$15),$I$16,$I$17)</f>
        <v>400</v>
      </c>
      <c r="H2" s="2"/>
      <c r="I2" s="2"/>
      <c r="J2" s="2"/>
      <c r="K2" s="2"/>
    </row>
    <row r="3" spans="1:11" x14ac:dyDescent="0.3">
      <c r="A3" s="2">
        <v>2</v>
      </c>
      <c r="B3" s="2" t="s">
        <v>13</v>
      </c>
      <c r="C3" s="2" t="s">
        <v>21</v>
      </c>
      <c r="D3" s="2">
        <v>9</v>
      </c>
      <c r="E3" s="2">
        <v>2</v>
      </c>
      <c r="F3" s="2">
        <f>IF(OR(Table1[[#This Row],[Sales]]&lt;=$I$14,Table1[[#This Row],[CC]]&lt;=$I$15),$I$16,$I$17)</f>
        <v>2000</v>
      </c>
      <c r="G3" s="2">
        <f>IF(AND(Table1[[#This Row],[Sales]]&gt;=$I$14,Table1[[#This Row],[CC]]&lt;=$I$15),$I$16,$I$17)</f>
        <v>2000</v>
      </c>
      <c r="H3" s="2"/>
      <c r="I3" s="2"/>
      <c r="J3" s="2"/>
      <c r="K3" s="2"/>
    </row>
    <row r="4" spans="1:11" x14ac:dyDescent="0.3">
      <c r="A4" s="2">
        <v>3</v>
      </c>
      <c r="B4" s="2" t="s">
        <v>14</v>
      </c>
      <c r="C4" s="2" t="s">
        <v>22</v>
      </c>
      <c r="D4" s="2">
        <v>3</v>
      </c>
      <c r="E4" s="2">
        <v>4</v>
      </c>
      <c r="F4" s="2">
        <f>IF(OR(Table1[[#This Row],[Sales]]&lt;=$I$14,Table1[[#This Row],[CC]]&lt;=$I$15),$I$16,$I$17)</f>
        <v>2000</v>
      </c>
      <c r="G4" s="2">
        <f>IF(AND(Table1[[#This Row],[Sales]]&gt;=$I$14,Table1[[#This Row],[CC]]&lt;=$I$15),$I$16,$I$17)</f>
        <v>400</v>
      </c>
      <c r="H4" s="2"/>
      <c r="I4" s="2"/>
      <c r="J4" s="2"/>
      <c r="K4" s="2"/>
    </row>
    <row r="5" spans="1:11" x14ac:dyDescent="0.3">
      <c r="A5" s="2">
        <v>4</v>
      </c>
      <c r="B5" s="2" t="s">
        <v>15</v>
      </c>
      <c r="C5" s="2" t="s">
        <v>23</v>
      </c>
      <c r="D5" s="2">
        <v>4</v>
      </c>
      <c r="E5" s="2">
        <v>7</v>
      </c>
      <c r="F5" s="2">
        <f>IF(OR(Table1[[#This Row],[Sales]]&lt;=$I$14,Table1[[#This Row],[CC]]&lt;=$I$15),$I$16,$I$17)</f>
        <v>2000</v>
      </c>
      <c r="G5" s="2">
        <f>IF(AND(Table1[[#This Row],[Sales]]&gt;=$I$14,Table1[[#This Row],[CC]]&lt;=$I$15),$I$16,$I$17)</f>
        <v>400</v>
      </c>
      <c r="H5" s="2"/>
      <c r="I5" s="2"/>
      <c r="J5" s="2"/>
      <c r="K5" s="2"/>
    </row>
    <row r="6" spans="1:11" x14ac:dyDescent="0.3">
      <c r="A6" s="2">
        <v>5</v>
      </c>
      <c r="B6" s="2" t="s">
        <v>16</v>
      </c>
      <c r="C6" s="2" t="s">
        <v>20</v>
      </c>
      <c r="D6" s="2">
        <v>7</v>
      </c>
      <c r="E6" s="2">
        <v>1</v>
      </c>
      <c r="F6" s="2">
        <f>IF(OR(Table1[[#This Row],[Sales]]&lt;=$I$14,Table1[[#This Row],[CC]]&lt;=$I$15),$I$16,$I$17)</f>
        <v>2000</v>
      </c>
      <c r="G6" s="2">
        <f>IF(AND(Table1[[#This Row],[Sales]]&gt;=$I$14,Table1[[#This Row],[CC]]&lt;=$I$15),$I$16,$I$17)</f>
        <v>2000</v>
      </c>
      <c r="H6" s="2"/>
      <c r="I6" s="2"/>
      <c r="J6" s="2"/>
      <c r="K6" s="2"/>
    </row>
    <row r="7" spans="1:11" x14ac:dyDescent="0.3">
      <c r="A7" s="2">
        <v>6</v>
      </c>
      <c r="B7" s="2" t="s">
        <v>17</v>
      </c>
      <c r="C7" s="2" t="s">
        <v>21</v>
      </c>
      <c r="D7" s="2">
        <v>2</v>
      </c>
      <c r="E7" s="2">
        <v>9</v>
      </c>
      <c r="F7" s="2">
        <f>IF(OR(Table1[[#This Row],[Sales]]&lt;=$I$14,Table1[[#This Row],[CC]]&lt;=$I$15),$I$16,$I$17)</f>
        <v>2000</v>
      </c>
      <c r="G7" s="2">
        <f>IF(AND(Table1[[#This Row],[Sales]]&gt;=$I$14,Table1[[#This Row],[CC]]&lt;=$I$15),$I$16,$I$17)</f>
        <v>400</v>
      </c>
      <c r="H7" s="2"/>
      <c r="I7" s="2"/>
      <c r="J7" s="2"/>
      <c r="K7" s="2"/>
    </row>
    <row r="8" spans="1:11" x14ac:dyDescent="0.3">
      <c r="A8" s="2">
        <v>7</v>
      </c>
      <c r="B8" s="2" t="s">
        <v>18</v>
      </c>
      <c r="C8" s="2" t="s">
        <v>22</v>
      </c>
      <c r="D8" s="2">
        <v>1</v>
      </c>
      <c r="E8" s="2">
        <v>2</v>
      </c>
      <c r="F8" s="2">
        <f>IF(OR(Table1[[#This Row],[Sales]]&lt;=$I$14,Table1[[#This Row],[CC]]&lt;=$I$15),$I$16,$I$17)</f>
        <v>2000</v>
      </c>
      <c r="G8" s="2">
        <f>IF(AND(Table1[[#This Row],[Sales]]&gt;=$I$14,Table1[[#This Row],[CC]]&lt;=$I$15),$I$16,$I$17)</f>
        <v>400</v>
      </c>
      <c r="H8" s="2"/>
      <c r="I8" s="2"/>
      <c r="J8" s="2"/>
      <c r="K8" s="2"/>
    </row>
    <row r="9" spans="1:11" x14ac:dyDescent="0.3">
      <c r="A9" s="2">
        <v>8</v>
      </c>
      <c r="B9" s="2" t="s">
        <v>19</v>
      </c>
      <c r="C9" s="2" t="s">
        <v>23</v>
      </c>
      <c r="D9" s="2">
        <v>4</v>
      </c>
      <c r="E9" s="2">
        <v>6</v>
      </c>
      <c r="F9" s="2">
        <f>IF(OR(Table1[[#This Row],[Sales]]&lt;=$I$14,Table1[[#This Row],[CC]]&lt;=$I$15),$I$16,$I$17)</f>
        <v>2000</v>
      </c>
      <c r="G9" s="2">
        <f>IF(AND(Table1[[#This Row],[Sales]]&gt;=$I$14,Table1[[#This Row],[CC]]&lt;=$I$15),$I$16,$I$17)</f>
        <v>2000</v>
      </c>
      <c r="H9" s="2"/>
      <c r="I9" s="2"/>
      <c r="J9" s="2"/>
      <c r="K9" s="2"/>
    </row>
    <row r="10" spans="1:11" x14ac:dyDescent="0.3">
      <c r="A10" s="2"/>
      <c r="B10" s="2"/>
      <c r="C10" s="2"/>
      <c r="D10" s="2"/>
      <c r="E10" s="2"/>
      <c r="F10" s="3"/>
    </row>
    <row r="11" spans="1:11" x14ac:dyDescent="0.3">
      <c r="A11" s="2"/>
      <c r="B11" s="2"/>
      <c r="C11" s="2"/>
      <c r="D11" s="2"/>
      <c r="E11" s="2"/>
      <c r="F11" s="3"/>
    </row>
    <row r="14" spans="1:11" x14ac:dyDescent="0.3">
      <c r="H14" t="s">
        <v>25</v>
      </c>
      <c r="I14">
        <v>4</v>
      </c>
    </row>
    <row r="15" spans="1:11" x14ac:dyDescent="0.3">
      <c r="H15" t="s">
        <v>26</v>
      </c>
      <c r="I15">
        <v>6</v>
      </c>
    </row>
    <row r="16" spans="1:11" x14ac:dyDescent="0.3">
      <c r="H16" t="s">
        <v>27</v>
      </c>
      <c r="I16">
        <v>2000</v>
      </c>
    </row>
    <row r="17" spans="1:13" x14ac:dyDescent="0.3">
      <c r="H17" t="s">
        <v>28</v>
      </c>
      <c r="I17">
        <v>400</v>
      </c>
    </row>
    <row r="21" spans="1:13" s="4" customFormat="1" x14ac:dyDescent="0.3">
      <c r="A21" s="9" t="s">
        <v>7</v>
      </c>
      <c r="B21" s="10" t="s">
        <v>9</v>
      </c>
      <c r="C21" s="10" t="s">
        <v>8</v>
      </c>
      <c r="D21" s="10" t="s">
        <v>10</v>
      </c>
      <c r="E21" s="10" t="s">
        <v>11</v>
      </c>
      <c r="F21" s="10" t="s">
        <v>24</v>
      </c>
      <c r="G21" s="11" t="s">
        <v>29</v>
      </c>
      <c r="H21" s="10" t="s">
        <v>34</v>
      </c>
      <c r="I21" s="10" t="s">
        <v>32</v>
      </c>
    </row>
    <row r="22" spans="1:13" x14ac:dyDescent="0.3">
      <c r="A22" s="7">
        <v>1</v>
      </c>
      <c r="B22" s="6" t="s">
        <v>12</v>
      </c>
      <c r="C22" s="6" t="s">
        <v>20</v>
      </c>
      <c r="D22" s="6">
        <v>5</v>
      </c>
      <c r="E22" s="6">
        <v>8</v>
      </c>
      <c r="F22" s="5">
        <v>400</v>
      </c>
      <c r="G22" s="8">
        <v>400</v>
      </c>
      <c r="H22" s="16">
        <v>5</v>
      </c>
      <c r="I22" s="16">
        <f>IF(AND(Table3[[#This Row],[expense]]&lt;$M$26,Table3[[#This Row],[expense]]&gt;$M$27),$M$28,$M$29)</f>
        <v>1000</v>
      </c>
    </row>
    <row r="23" spans="1:13" x14ac:dyDescent="0.3">
      <c r="A23" s="7">
        <v>2</v>
      </c>
      <c r="B23" s="6" t="s">
        <v>13</v>
      </c>
      <c r="C23" s="6" t="s">
        <v>21</v>
      </c>
      <c r="D23" s="6">
        <v>9</v>
      </c>
      <c r="E23" s="6">
        <v>2</v>
      </c>
      <c r="F23" s="5">
        <v>2000</v>
      </c>
      <c r="G23" s="8">
        <v>2000</v>
      </c>
      <c r="H23" s="6">
        <v>9</v>
      </c>
      <c r="I23" s="6">
        <f>IF(AND(Table3[[#This Row],[expense]]&lt;$M$26,Table3[[#This Row],[expense]]&gt;$M$27),$M$28,$M$29)</f>
        <v>200</v>
      </c>
    </row>
    <row r="24" spans="1:13" x14ac:dyDescent="0.3">
      <c r="A24" s="7">
        <v>3</v>
      </c>
      <c r="B24" s="6" t="s">
        <v>14</v>
      </c>
      <c r="C24" s="6" t="s">
        <v>22</v>
      </c>
      <c r="D24" s="6">
        <v>3</v>
      </c>
      <c r="E24" s="6">
        <v>4</v>
      </c>
      <c r="F24" s="5">
        <v>2000</v>
      </c>
      <c r="G24" s="8">
        <v>400</v>
      </c>
      <c r="H24" s="6">
        <v>3</v>
      </c>
      <c r="I24" s="6">
        <f>IF(AND(Table3[[#This Row],[expense]]&lt;$M$26,Table3[[#This Row],[expense]]&gt;$M$27),$M$28,$M$29)</f>
        <v>200</v>
      </c>
    </row>
    <row r="25" spans="1:13" x14ac:dyDescent="0.3">
      <c r="A25" s="7">
        <v>4</v>
      </c>
      <c r="B25" s="6" t="s">
        <v>15</v>
      </c>
      <c r="C25" s="6" t="s">
        <v>23</v>
      </c>
      <c r="D25" s="6">
        <v>4</v>
      </c>
      <c r="E25" s="6">
        <v>7</v>
      </c>
      <c r="F25" s="5">
        <v>2000</v>
      </c>
      <c r="G25" s="8">
        <v>400</v>
      </c>
      <c r="H25" s="6">
        <v>4</v>
      </c>
      <c r="I25" s="6">
        <f>IF(AND(Table3[[#This Row],[expense]]&lt;$M$26,Table3[[#This Row],[expense]]&gt;$M$27),$M$28,$M$29)</f>
        <v>200</v>
      </c>
    </row>
    <row r="26" spans="1:13" x14ac:dyDescent="0.3">
      <c r="A26" s="7">
        <v>5</v>
      </c>
      <c r="B26" s="6" t="s">
        <v>16</v>
      </c>
      <c r="C26" s="6" t="s">
        <v>20</v>
      </c>
      <c r="D26" s="6">
        <v>7</v>
      </c>
      <c r="E26" s="6">
        <v>1</v>
      </c>
      <c r="F26" s="5">
        <v>2000</v>
      </c>
      <c r="G26" s="8">
        <v>2000</v>
      </c>
      <c r="H26" s="6">
        <v>7</v>
      </c>
      <c r="I26" s="6">
        <f>IF(AND(Table3[[#This Row],[expense]]&lt;$M$26,Table3[[#This Row],[expense]]&gt;$M$27),$M$28,$M$29)</f>
        <v>200</v>
      </c>
      <c r="L26" t="s">
        <v>31</v>
      </c>
      <c r="M26">
        <v>6</v>
      </c>
    </row>
    <row r="27" spans="1:13" x14ac:dyDescent="0.3">
      <c r="A27" s="7">
        <v>6</v>
      </c>
      <c r="B27" s="6" t="s">
        <v>17</v>
      </c>
      <c r="C27" s="6" t="s">
        <v>21</v>
      </c>
      <c r="D27" s="6">
        <v>2</v>
      </c>
      <c r="E27" s="6">
        <v>9</v>
      </c>
      <c r="F27" s="5">
        <v>2000</v>
      </c>
      <c r="G27" s="8">
        <v>400</v>
      </c>
      <c r="H27" s="6">
        <v>2</v>
      </c>
      <c r="I27" s="6">
        <f>IF(AND(Table3[[#This Row],[expense]]&lt;$M$26,Table3[[#This Row],[expense]]&gt;$M$27),$M$28,$M$29)</f>
        <v>200</v>
      </c>
      <c r="L27" t="s">
        <v>34</v>
      </c>
      <c r="M27">
        <v>4</v>
      </c>
    </row>
    <row r="28" spans="1:13" x14ac:dyDescent="0.3">
      <c r="A28" s="7">
        <v>7</v>
      </c>
      <c r="B28" s="6" t="s">
        <v>18</v>
      </c>
      <c r="C28" s="6" t="s">
        <v>22</v>
      </c>
      <c r="D28" s="6">
        <v>1</v>
      </c>
      <c r="E28" s="6">
        <v>2</v>
      </c>
      <c r="F28" s="5">
        <v>2000</v>
      </c>
      <c r="G28" s="8">
        <v>400</v>
      </c>
      <c r="H28" s="6">
        <v>1</v>
      </c>
      <c r="I28" s="6">
        <f>IF(AND(Table3[[#This Row],[expense]]&lt;$M$26,Table3[[#This Row],[expense]]&gt;$M$27),$M$28,$M$29)</f>
        <v>200</v>
      </c>
      <c r="L28" t="s">
        <v>32</v>
      </c>
      <c r="M28">
        <v>1000</v>
      </c>
    </row>
    <row r="29" spans="1:13" x14ac:dyDescent="0.3">
      <c r="A29" s="12">
        <v>8</v>
      </c>
      <c r="B29" s="13" t="s">
        <v>19</v>
      </c>
      <c r="C29" s="13" t="s">
        <v>23</v>
      </c>
      <c r="D29" s="13">
        <v>4</v>
      </c>
      <c r="E29" s="13">
        <v>6</v>
      </c>
      <c r="F29" s="14">
        <v>2000</v>
      </c>
      <c r="G29" s="15">
        <v>2000</v>
      </c>
      <c r="H29" s="13">
        <v>4</v>
      </c>
      <c r="I29" s="13">
        <f>IF(AND(Table3[[#This Row],[expense]]&lt;$M$26,Table3[[#This Row],[expense]]&gt;$M$27),$M$28,$M$29)</f>
        <v>200</v>
      </c>
      <c r="L29" t="s">
        <v>33</v>
      </c>
      <c r="M29">
        <v>200</v>
      </c>
    </row>
    <row r="30" spans="1:13" x14ac:dyDescent="0.3">
      <c r="A30" s="12" t="s">
        <v>30</v>
      </c>
      <c r="B30" s="13"/>
      <c r="C30" s="13"/>
      <c r="D30" s="13"/>
      <c r="E30" s="13"/>
      <c r="F30" s="14">
        <f>SUM(Table3[Bones])</f>
        <v>14400</v>
      </c>
      <c r="G30" s="15">
        <f>SUBTOTAL(109,Table3[change in polices])</f>
        <v>8000</v>
      </c>
      <c r="H30" s="13"/>
      <c r="I30" s="13"/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5858-8494-45B9-B40C-123DFA680AFE}">
  <dimension ref="A1:E11"/>
  <sheetViews>
    <sheetView tabSelected="1" zoomScale="216" workbookViewId="0">
      <selection activeCell="E11" sqref="E11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8.88671875" customWidth="1"/>
    <col min="4" max="4" width="17.44140625" bestFit="1" customWidth="1"/>
    <col min="5" max="5" width="11.77734375" bestFit="1" customWidth="1"/>
  </cols>
  <sheetData>
    <row r="1" spans="1:5" x14ac:dyDescent="0.3">
      <c r="A1" t="s">
        <v>35</v>
      </c>
      <c r="B1" t="s">
        <v>36</v>
      </c>
      <c r="C1" t="s">
        <v>37</v>
      </c>
      <c r="D1" t="s">
        <v>46</v>
      </c>
      <c r="E1" t="s">
        <v>47</v>
      </c>
    </row>
    <row r="2" spans="1:5" x14ac:dyDescent="0.3">
      <c r="A2" t="s">
        <v>38</v>
      </c>
      <c r="B2" t="s">
        <v>39</v>
      </c>
      <c r="C2" t="str">
        <f t="shared" ref="C2:C5" si="0" xml:space="preserve"> _xlfn.CONCAT(A2," ",B2)</f>
        <v>Raj  Kapoor</v>
      </c>
      <c r="D2" t="str">
        <f>CONCATENATE(A2," ",B2)</f>
        <v>Raj  Kapoor</v>
      </c>
      <c r="E2" t="str">
        <f>A2&amp;" "&amp;B2</f>
        <v>Raj  Kapoor</v>
      </c>
    </row>
    <row r="3" spans="1:5" x14ac:dyDescent="0.3">
      <c r="A3" t="s">
        <v>40</v>
      </c>
      <c r="B3" t="s">
        <v>41</v>
      </c>
      <c r="C3" t="str">
        <f t="shared" si="0"/>
        <v>Uvi Sharma</v>
      </c>
      <c r="D3" t="str">
        <f t="shared" ref="D3:D5" si="1">CONCATENATE(A3," ",B3)</f>
        <v>Uvi Sharma</v>
      </c>
      <c r="E3" t="str">
        <f t="shared" ref="E3:E5" si="2">A3&amp;" "&amp;B3</f>
        <v>Uvi Sharma</v>
      </c>
    </row>
    <row r="4" spans="1:5" x14ac:dyDescent="0.3">
      <c r="A4" t="s">
        <v>42</v>
      </c>
      <c r="B4" t="s">
        <v>43</v>
      </c>
      <c r="C4" t="str">
        <f t="shared" si="0"/>
        <v>Kavya Mishra</v>
      </c>
      <c r="D4" t="str">
        <f t="shared" si="1"/>
        <v>Kavya Mishra</v>
      </c>
      <c r="E4" t="str">
        <f t="shared" si="2"/>
        <v>Kavya Mishra</v>
      </c>
    </row>
    <row r="5" spans="1:5" x14ac:dyDescent="0.3">
      <c r="A5" t="s">
        <v>44</v>
      </c>
      <c r="B5" t="s">
        <v>45</v>
      </c>
      <c r="C5" t="str">
        <f t="shared" si="0"/>
        <v>Dipak  Thakur</v>
      </c>
      <c r="D5" t="str">
        <f t="shared" si="1"/>
        <v>Dipak  Thakur</v>
      </c>
      <c r="E5" t="str">
        <f t="shared" si="2"/>
        <v>Dipak  Thakur</v>
      </c>
    </row>
    <row r="7" spans="1:5" x14ac:dyDescent="0.3">
      <c r="A7" s="18" t="s">
        <v>55</v>
      </c>
      <c r="B7" s="17" t="s">
        <v>48</v>
      </c>
      <c r="C7" s="17" t="s">
        <v>49</v>
      </c>
      <c r="D7" s="19" t="s">
        <v>50</v>
      </c>
    </row>
    <row r="8" spans="1:5" x14ac:dyDescent="0.3">
      <c r="A8" s="18" t="s">
        <v>51</v>
      </c>
      <c r="B8" s="17" t="s">
        <v>15</v>
      </c>
      <c r="C8" s="17" t="s">
        <v>52</v>
      </c>
      <c r="D8" s="19" t="str">
        <f>_xlfn.CONCAT(Table5[[#This Row],[First Name ]],IF(Table5[[#This Row],[midel name ]]="",""," "),Table5[[#This Row],[midel name ]]," ",Table5[[#This Row],[last name]])</f>
        <v>Rahul  Ram Kulkarni</v>
      </c>
    </row>
    <row r="9" spans="1:5" x14ac:dyDescent="0.3">
      <c r="A9" s="18" t="s">
        <v>40</v>
      </c>
      <c r="B9" s="17" t="s">
        <v>56</v>
      </c>
      <c r="C9" s="17" t="s">
        <v>41</v>
      </c>
      <c r="D9" s="19" t="str">
        <f>_xlfn.CONCAT(Table5[[#This Row],[First Name ]],IF(Table5[[#This Row],[midel name ]]="",""," "),Table5[[#This Row],[midel name ]]," ",Table5[[#This Row],[last name]])</f>
        <v>Uvi Kushal Sharma</v>
      </c>
    </row>
    <row r="10" spans="1:5" x14ac:dyDescent="0.3">
      <c r="A10" s="18" t="s">
        <v>42</v>
      </c>
      <c r="B10" s="17" t="s">
        <v>53</v>
      </c>
      <c r="C10" s="17" t="s">
        <v>43</v>
      </c>
      <c r="D10" s="19" t="str">
        <f>_xlfn.CONCAT(Table5[[#This Row],[First Name ]],IF(Table5[[#This Row],[midel name ]]="",""," "),Table5[[#This Row],[midel name ]]," ",Table5[[#This Row],[last name]])</f>
        <v>Kavya Ravi Mishra</v>
      </c>
    </row>
    <row r="11" spans="1:5" x14ac:dyDescent="0.3">
      <c r="A11" s="20" t="s">
        <v>44</v>
      </c>
      <c r="B11" s="21" t="s">
        <v>54</v>
      </c>
      <c r="C11" s="21" t="s">
        <v>45</v>
      </c>
      <c r="D11" s="19" t="str">
        <f>_xlfn.CONCAT(Table5[[#This Row],[First Name ]],IF(Table5[[#This Row],[midel name ]]="",""," "),Table5[[#This Row],[midel name ]]," ",Table5[[#This Row],[last name]])</f>
        <v>Dipak kumar  Thakur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Kulkarni</dc:creator>
  <cp:lastModifiedBy>Rahul Kulkarni</cp:lastModifiedBy>
  <dcterms:created xsi:type="dcterms:W3CDTF">2026-08-12T05:54:22Z</dcterms:created>
  <dcterms:modified xsi:type="dcterms:W3CDTF">2026-08-26T06:27:55Z</dcterms:modified>
</cp:coreProperties>
</file>