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ut\OneDrive\Desktop\PGDM\"/>
    </mc:Choice>
  </mc:AlternateContent>
  <xr:revisionPtr revIDLastSave="0" documentId="13_ncr:1_{92E46858-63A4-4D0F-99D2-8BDAA3EF6F3F}" xr6:coauthVersionLast="47" xr6:coauthVersionMax="47" xr10:uidLastSave="{00000000-0000-0000-0000-000000000000}"/>
  <bookViews>
    <workbookView xWindow="-108" yWindow="-108" windowWidth="23256" windowHeight="12456" activeTab="1" xr2:uid="{B016029A-643B-4245-A1D2-7FF68A000E90}"/>
  </bookViews>
  <sheets>
    <sheet name="Sheet2" sheetId="13" r:id="rId1"/>
    <sheet name="d" sheetId="9" r:id="rId2"/>
    <sheet name="Sheet3" sheetId="14" r:id="rId3"/>
    <sheet name="sad" sheetId="11" r:id="rId4"/>
    <sheet name="Sheet1" sheetId="1" r:id="rId5"/>
    <sheet name="Sheet8" sheetId="12" r:id="rId6"/>
  </sheets>
  <definedNames>
    <definedName name="_xlnm._FilterDatabase" localSheetId="1" hidden="1">d!$A$12:$E$19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1" i="9" l="1"/>
  <c r="Z5" i="9"/>
  <c r="AB3" i="9"/>
  <c r="AB2" i="9"/>
  <c r="AA2" i="9"/>
  <c r="Y8" i="9"/>
  <c r="Z4" i="9"/>
  <c r="AA3" i="9"/>
  <c r="I16" i="9"/>
  <c r="H16" i="9"/>
  <c r="G16" i="9"/>
  <c r="I14" i="9"/>
  <c r="I15" i="9"/>
  <c r="I13" i="9"/>
  <c r="H14" i="9"/>
  <c r="H15" i="9"/>
  <c r="H13" i="9"/>
  <c r="G13" i="9"/>
  <c r="G14" i="9"/>
  <c r="G15" i="9"/>
  <c r="D9" i="9"/>
  <c r="D8" i="9"/>
  <c r="D7" i="9"/>
  <c r="D6" i="9"/>
  <c r="D3" i="9"/>
  <c r="D4" i="9"/>
  <c r="D5" i="9"/>
  <c r="D2" i="9"/>
  <c r="H5" i="9"/>
  <c r="H4" i="9"/>
  <c r="G9" i="9"/>
  <c r="G8" i="9"/>
  <c r="G7" i="9"/>
</calcChain>
</file>

<file path=xl/sharedStrings.xml><?xml version="1.0" encoding="utf-8"?>
<sst xmlns="http://schemas.openxmlformats.org/spreadsheetml/2006/main" count="121" uniqueCount="75">
  <si>
    <t>total</t>
  </si>
  <si>
    <t>region</t>
  </si>
  <si>
    <t>East</t>
  </si>
  <si>
    <t>West</t>
  </si>
  <si>
    <t>Highest value</t>
  </si>
  <si>
    <t>North</t>
  </si>
  <si>
    <t>South</t>
  </si>
  <si>
    <t>Lowest value</t>
  </si>
  <si>
    <t>first</t>
  </si>
  <si>
    <t>last</t>
  </si>
  <si>
    <t>ranbir</t>
  </si>
  <si>
    <t>kapoor</t>
  </si>
  <si>
    <t>Full Name</t>
  </si>
  <si>
    <t>order Amount($)</t>
  </si>
  <si>
    <t>INR</t>
  </si>
  <si>
    <t>INR rate</t>
  </si>
  <si>
    <t xml:space="preserve">Absolute/Relative </t>
  </si>
  <si>
    <t>Referening</t>
  </si>
  <si>
    <t>excel file workbook can have multiple work sheet</t>
  </si>
  <si>
    <t>Notes</t>
  </si>
  <si>
    <t>&gt;8</t>
  </si>
  <si>
    <t>Target data</t>
  </si>
  <si>
    <t>ribbon(tool bar)</t>
  </si>
  <si>
    <t>sales</t>
  </si>
  <si>
    <t>Names</t>
  </si>
  <si>
    <t>Amit</t>
  </si>
  <si>
    <t>ravi</t>
  </si>
  <si>
    <t>mohan</t>
  </si>
  <si>
    <t>parah</t>
  </si>
  <si>
    <t>vidhan</t>
  </si>
  <si>
    <t>mnikhil</t>
  </si>
  <si>
    <t>rekha</t>
  </si>
  <si>
    <t>product</t>
  </si>
  <si>
    <t>pen</t>
  </si>
  <si>
    <t>book</t>
  </si>
  <si>
    <t>laptop</t>
  </si>
  <si>
    <t>empId</t>
  </si>
  <si>
    <t>P/e ratio</t>
  </si>
  <si>
    <t>with conditonal format</t>
  </si>
  <si>
    <t>vlookup</t>
  </si>
  <si>
    <t>conditional format</t>
  </si>
  <si>
    <t>Vlookup</t>
  </si>
  <si>
    <t>filter</t>
  </si>
  <si>
    <t>location</t>
  </si>
  <si>
    <t>delhi</t>
  </si>
  <si>
    <t>goa</t>
  </si>
  <si>
    <t>Count of location</t>
  </si>
  <si>
    <t>self explanitory</t>
  </si>
  <si>
    <t>chart should be</t>
  </si>
  <si>
    <t>EmpLD</t>
  </si>
  <si>
    <t>Name</t>
  </si>
  <si>
    <t>Sale</t>
  </si>
  <si>
    <t>Product</t>
  </si>
  <si>
    <t>amit</t>
  </si>
  <si>
    <t>Mohan</t>
  </si>
  <si>
    <t>praj</t>
  </si>
  <si>
    <t>nikhil</t>
  </si>
  <si>
    <t>sadhu</t>
  </si>
  <si>
    <t>VlookUp</t>
  </si>
  <si>
    <t>approx</t>
  </si>
  <si>
    <t>lower closest</t>
  </si>
  <si>
    <t>employee</t>
  </si>
  <si>
    <t>leaves</t>
  </si>
  <si>
    <t>vijaya</t>
  </si>
  <si>
    <t>rahul</t>
  </si>
  <si>
    <t>vijay</t>
  </si>
  <si>
    <t>ram</t>
  </si>
  <si>
    <t>vija</t>
  </si>
  <si>
    <t>formula</t>
  </si>
  <si>
    <t>dadjv</t>
  </si>
  <si>
    <t>saf</t>
  </si>
  <si>
    <t>nifty 50 example</t>
  </si>
  <si>
    <t>shows highest empl id NAME</t>
  </si>
  <si>
    <t>vlookup (true)</t>
  </si>
  <si>
    <t>ascending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</si>
</sst>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0" xfId="0" pivotButton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2" borderId="0" xfId="0" applyFont="1" applyFill="1"/>
    <xf numFmtId="0" fontId="0" fillId="3" borderId="0" xfId="0" applyFill="1"/>
  </cellXfs>
  <cellStyles count="2">
    <cellStyle name="Euro" xfId="1" xr:uid="{7D2CD4EE-2227-45A1-859C-6CB00BEA3D7B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 101.xlsx]Sheet2!PivotTable12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Sheet2!$A$2:$B$8</c:f>
              <c:multiLvlStrCache>
                <c:ptCount val="7"/>
                <c:lvl>
                  <c:pt idx="0">
                    <c:v>mnikhil</c:v>
                  </c:pt>
                  <c:pt idx="1">
                    <c:v>mohan</c:v>
                  </c:pt>
                  <c:pt idx="2">
                    <c:v>parah</c:v>
                  </c:pt>
                  <c:pt idx="3">
                    <c:v>ravi</c:v>
                  </c:pt>
                  <c:pt idx="4">
                    <c:v>rekha</c:v>
                  </c:pt>
                  <c:pt idx="5">
                    <c:v>vidhan</c:v>
                  </c:pt>
                  <c:pt idx="6">
                    <c:v>Amit</c:v>
                  </c:pt>
                </c:lvl>
                <c:lvl>
                  <c:pt idx="0">
                    <c:v>delhi</c:v>
                  </c:pt>
                  <c:pt idx="6">
                    <c:v>goa</c:v>
                  </c:pt>
                </c:lvl>
              </c:multiLvlStrCache>
            </c:multiLvlStrRef>
          </c:cat>
          <c:val>
            <c:numRef>
              <c:f>Sheet2!$C$2:$C$8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1-4747-8631-86A38815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743488"/>
        <c:axId val="1641127376"/>
      </c:barChart>
      <c:catAx>
        <c:axId val="19157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27376"/>
        <c:crosses val="autoZero"/>
        <c:auto val="1"/>
        <c:lblAlgn val="ctr"/>
        <c:lblOffset val="100"/>
        <c:noMultiLvlLbl val="0"/>
      </c:catAx>
      <c:valAx>
        <c:axId val="16411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4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salesman wise performence across 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98346976596192E-2"/>
          <c:y val="0.11945154969217538"/>
          <c:w val="0.90773800456572129"/>
          <c:h val="0.6472563420906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d!$C$12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d!$B$13:$B$19</c:f>
              <c:strCache>
                <c:ptCount val="7"/>
                <c:pt idx="0">
                  <c:v>ravi</c:v>
                </c:pt>
                <c:pt idx="1">
                  <c:v>parah</c:v>
                </c:pt>
                <c:pt idx="2">
                  <c:v>Amit</c:v>
                </c:pt>
                <c:pt idx="3">
                  <c:v>mnikhil</c:v>
                </c:pt>
                <c:pt idx="4">
                  <c:v>mohan</c:v>
                </c:pt>
                <c:pt idx="5">
                  <c:v>vidhan</c:v>
                </c:pt>
                <c:pt idx="6">
                  <c:v>rekha</c:v>
                </c:pt>
              </c:strCache>
            </c:strRef>
          </c:cat>
          <c:val>
            <c:numRef>
              <c:f>d!$C$13:$C$19</c:f>
              <c:numCache>
                <c:formatCode>General</c:formatCode>
                <c:ptCount val="7"/>
                <c:pt idx="0">
                  <c:v>21</c:v>
                </c:pt>
                <c:pt idx="1">
                  <c:v>23</c:v>
                </c:pt>
                <c:pt idx="2">
                  <c:v>32</c:v>
                </c:pt>
                <c:pt idx="3">
                  <c:v>46</c:v>
                </c:pt>
                <c:pt idx="4">
                  <c:v>52</c:v>
                </c:pt>
                <c:pt idx="5">
                  <c:v>52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5-49A1-8181-2B207E7DE1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2273360"/>
        <c:axId val="2064961584"/>
      </c:barChart>
      <c:catAx>
        <c:axId val="202227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man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61584"/>
        <c:crosses val="autoZero"/>
        <c:auto val="1"/>
        <c:lblAlgn val="ctr"/>
        <c:lblOffset val="100"/>
        <c:noMultiLvlLbl val="0"/>
      </c:catAx>
      <c:valAx>
        <c:axId val="2064961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73360"/>
        <c:crosses val="autoZero"/>
        <c:crossBetween val="between"/>
      </c:valAx>
      <c:spPr>
        <a:gradFill>
          <a:gsLst>
            <a:gs pos="0">
              <a:srgbClr val="FFC000"/>
            </a:gs>
            <a:gs pos="61550">
              <a:schemeClr val="bg1"/>
            </a:gs>
            <a:gs pos="48500">
              <a:srgbClr val="D1ECF8"/>
            </a:gs>
            <a:gs pos="44000">
              <a:schemeClr val="bg1"/>
            </a:gs>
            <a:gs pos="83000">
              <a:schemeClr val="accent6">
                <a:lumMod val="75000"/>
              </a:schemeClr>
            </a:gs>
            <a:gs pos="53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3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d!$C$12</c:f>
              <c:strCache>
                <c:ptCount val="1"/>
                <c:pt idx="0">
                  <c:v>sales</c:v>
                </c:pt>
              </c:strCache>
            </c:strRef>
          </c:tx>
          <c:spPr>
            <a:gradFill flip="none" rotWithShape="1">
              <a:gsLst>
                <a:gs pos="82000">
                  <a:srgbClr val="B74C14"/>
                </a:gs>
                <a:gs pos="0">
                  <a:schemeClr val="accent5">
                    <a:lumMod val="40000"/>
                    <a:lumOff val="60000"/>
                  </a:schemeClr>
                </a:gs>
                <a:gs pos="23000">
                  <a:schemeClr val="accent4">
                    <a:lumMod val="60000"/>
                    <a:lumOff val="40000"/>
                  </a:schemeClr>
                </a:gs>
                <a:gs pos="37000">
                  <a:srgbClr val="92D050">
                    <a:alpha val="90000"/>
                    <a:lumMod val="41000"/>
                  </a:srgbClr>
                </a:gs>
                <a:gs pos="97000">
                  <a:schemeClr val="accent1">
                    <a:lumMod val="60000"/>
                    <a:lumOff val="40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cat>
            <c:strRef>
              <c:f>d!$B$13:$B$19</c:f>
              <c:strCache>
                <c:ptCount val="7"/>
                <c:pt idx="0">
                  <c:v>ravi</c:v>
                </c:pt>
                <c:pt idx="1">
                  <c:v>parah</c:v>
                </c:pt>
                <c:pt idx="2">
                  <c:v>Amit</c:v>
                </c:pt>
                <c:pt idx="3">
                  <c:v>mnikhil</c:v>
                </c:pt>
                <c:pt idx="4">
                  <c:v>mohan</c:v>
                </c:pt>
                <c:pt idx="5">
                  <c:v>vidhan</c:v>
                </c:pt>
                <c:pt idx="6">
                  <c:v>rekha</c:v>
                </c:pt>
              </c:strCache>
            </c:strRef>
          </c:cat>
          <c:val>
            <c:numRef>
              <c:f>d!$C$13:$C$19</c:f>
              <c:numCache>
                <c:formatCode>General</c:formatCode>
                <c:ptCount val="7"/>
                <c:pt idx="0">
                  <c:v>21</c:v>
                </c:pt>
                <c:pt idx="1">
                  <c:v>23</c:v>
                </c:pt>
                <c:pt idx="2">
                  <c:v>32</c:v>
                </c:pt>
                <c:pt idx="3">
                  <c:v>46</c:v>
                </c:pt>
                <c:pt idx="4">
                  <c:v>52</c:v>
                </c:pt>
                <c:pt idx="5">
                  <c:v>52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5-40D0-A728-5DE2A80BE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366208"/>
        <c:axId val="2064903024"/>
      </c:barChart>
      <c:catAx>
        <c:axId val="20763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03024"/>
        <c:crosses val="autoZero"/>
        <c:auto val="1"/>
        <c:lblAlgn val="ctr"/>
        <c:lblOffset val="100"/>
        <c:noMultiLvlLbl val="0"/>
      </c:catAx>
      <c:valAx>
        <c:axId val="20649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366208"/>
        <c:crosses val="autoZero"/>
        <c:crossBetween val="between"/>
      </c:valAx>
      <c:spPr>
        <a:pattFill prst="solidDmnd">
          <a:fgClr>
            <a:srgbClr val="00B050"/>
          </a:fgClr>
          <a:bgClr>
            <a:schemeClr val="accent2">
              <a:lumMod val="50000"/>
            </a:schemeClr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50000"/>
      </a:blip>
      <a:srcRect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6</xdr:row>
      <xdr:rowOff>41910</xdr:rowOff>
    </xdr:from>
    <xdr:to>
      <xdr:col>14</xdr:col>
      <xdr:colOff>342900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EC0B8-379B-47D2-54A5-04C2FA11D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540488</xdr:colOff>
      <xdr:row>0</xdr:row>
      <xdr:rowOff>0</xdr:rowOff>
    </xdr:from>
    <xdr:to>
      <xdr:col>31</xdr:col>
      <xdr:colOff>186069</xdr:colOff>
      <xdr:row>16</xdr:row>
      <xdr:rowOff>26582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8C5DA4-E96E-2E13-CCC2-534A992EBCCA}"/>
            </a:ext>
          </a:extLst>
        </xdr:cNvPr>
        <xdr:cNvSpPr/>
      </xdr:nvSpPr>
      <xdr:spPr>
        <a:xfrm>
          <a:off x="11669232" y="0"/>
          <a:ext cx="9675628" cy="3003698"/>
        </a:xfrm>
        <a:custGeom>
          <a:avLst/>
          <a:gdLst>
            <a:gd name="csX0" fmla="*/ 0 w 9675628"/>
            <a:gd name="csY0" fmla="*/ 0 h 3003698"/>
            <a:gd name="csX1" fmla="*/ 762667 w 9675628"/>
            <a:gd name="csY1" fmla="*/ 0 h 3003698"/>
            <a:gd name="csX2" fmla="*/ 1525334 w 9675628"/>
            <a:gd name="csY2" fmla="*/ 0 h 3003698"/>
            <a:gd name="csX3" fmla="*/ 2288001 w 9675628"/>
            <a:gd name="csY3" fmla="*/ 0 h 3003698"/>
            <a:gd name="csX4" fmla="*/ 2953912 w 9675628"/>
            <a:gd name="csY4" fmla="*/ 0 h 3003698"/>
            <a:gd name="csX5" fmla="*/ 3619823 w 9675628"/>
            <a:gd name="csY5" fmla="*/ 0 h 3003698"/>
            <a:gd name="csX6" fmla="*/ 4092221 w 9675628"/>
            <a:gd name="csY6" fmla="*/ 0 h 3003698"/>
            <a:gd name="csX7" fmla="*/ 4371107 w 9675628"/>
            <a:gd name="csY7" fmla="*/ 0 h 3003698"/>
            <a:gd name="csX8" fmla="*/ 5037018 w 9675628"/>
            <a:gd name="csY8" fmla="*/ 0 h 3003698"/>
            <a:gd name="csX9" fmla="*/ 5315904 w 9675628"/>
            <a:gd name="csY9" fmla="*/ 0 h 3003698"/>
            <a:gd name="csX10" fmla="*/ 6078571 w 9675628"/>
            <a:gd name="csY10" fmla="*/ 0 h 3003698"/>
            <a:gd name="csX11" fmla="*/ 6744482 w 9675628"/>
            <a:gd name="csY11" fmla="*/ 0 h 3003698"/>
            <a:gd name="csX12" fmla="*/ 7507149 w 9675628"/>
            <a:gd name="csY12" fmla="*/ 0 h 3003698"/>
            <a:gd name="csX13" fmla="*/ 7882791 w 9675628"/>
            <a:gd name="csY13" fmla="*/ 0 h 3003698"/>
            <a:gd name="csX14" fmla="*/ 8355189 w 9675628"/>
            <a:gd name="csY14" fmla="*/ 0 h 3003698"/>
            <a:gd name="csX15" fmla="*/ 9117857 w 9675628"/>
            <a:gd name="csY15" fmla="*/ 0 h 3003698"/>
            <a:gd name="csX16" fmla="*/ 9675628 w 9675628"/>
            <a:gd name="csY16" fmla="*/ 0 h 3003698"/>
            <a:gd name="csX17" fmla="*/ 9675628 w 9675628"/>
            <a:gd name="csY17" fmla="*/ 560690 h 3003698"/>
            <a:gd name="csX18" fmla="*/ 9675628 w 9675628"/>
            <a:gd name="csY18" fmla="*/ 1031270 h 3003698"/>
            <a:gd name="csX19" fmla="*/ 9675628 w 9675628"/>
            <a:gd name="csY19" fmla="*/ 1471812 h 3003698"/>
            <a:gd name="csX20" fmla="*/ 9675628 w 9675628"/>
            <a:gd name="csY20" fmla="*/ 2002465 h 3003698"/>
            <a:gd name="csX21" fmla="*/ 9675628 w 9675628"/>
            <a:gd name="csY21" fmla="*/ 2473045 h 3003698"/>
            <a:gd name="csX22" fmla="*/ 9675628 w 9675628"/>
            <a:gd name="csY22" fmla="*/ 3003698 h 3003698"/>
            <a:gd name="csX23" fmla="*/ 9203230 w 9675628"/>
            <a:gd name="csY23" fmla="*/ 3003698 h 3003698"/>
            <a:gd name="csX24" fmla="*/ 8730831 w 9675628"/>
            <a:gd name="csY24" fmla="*/ 3003698 h 3003698"/>
            <a:gd name="csX25" fmla="*/ 8161677 w 9675628"/>
            <a:gd name="csY25" fmla="*/ 3003698 h 3003698"/>
            <a:gd name="csX26" fmla="*/ 7689278 w 9675628"/>
            <a:gd name="csY26" fmla="*/ 3003698 h 3003698"/>
            <a:gd name="csX27" fmla="*/ 7023368 w 9675628"/>
            <a:gd name="csY27" fmla="*/ 3003698 h 3003698"/>
            <a:gd name="csX28" fmla="*/ 6550969 w 9675628"/>
            <a:gd name="csY28" fmla="*/ 3003698 h 3003698"/>
            <a:gd name="csX29" fmla="*/ 5981815 w 9675628"/>
            <a:gd name="csY29" fmla="*/ 3003698 h 3003698"/>
            <a:gd name="csX30" fmla="*/ 5315904 w 9675628"/>
            <a:gd name="csY30" fmla="*/ 3003698 h 3003698"/>
            <a:gd name="csX31" fmla="*/ 4553237 w 9675628"/>
            <a:gd name="csY31" fmla="*/ 3003698 h 3003698"/>
            <a:gd name="csX32" fmla="*/ 3790570 w 9675628"/>
            <a:gd name="csY32" fmla="*/ 3003698 h 3003698"/>
            <a:gd name="csX33" fmla="*/ 3511684 w 9675628"/>
            <a:gd name="csY33" fmla="*/ 3003698 h 3003698"/>
            <a:gd name="csX34" fmla="*/ 3232798 w 9675628"/>
            <a:gd name="csY34" fmla="*/ 3003698 h 3003698"/>
            <a:gd name="csX35" fmla="*/ 2857156 w 9675628"/>
            <a:gd name="csY35" fmla="*/ 3003698 h 3003698"/>
            <a:gd name="csX36" fmla="*/ 2481514 w 9675628"/>
            <a:gd name="csY36" fmla="*/ 3003698 h 3003698"/>
            <a:gd name="csX37" fmla="*/ 2009116 w 9675628"/>
            <a:gd name="csY37" fmla="*/ 3003698 h 3003698"/>
            <a:gd name="csX38" fmla="*/ 1246449 w 9675628"/>
            <a:gd name="csY38" fmla="*/ 3003698 h 3003698"/>
            <a:gd name="csX39" fmla="*/ 870807 w 9675628"/>
            <a:gd name="csY39" fmla="*/ 3003698 h 3003698"/>
            <a:gd name="csX40" fmla="*/ 495164 w 9675628"/>
            <a:gd name="csY40" fmla="*/ 3003698 h 3003698"/>
            <a:gd name="csX41" fmla="*/ 0 w 9675628"/>
            <a:gd name="csY41" fmla="*/ 3003698 h 3003698"/>
            <a:gd name="csX42" fmla="*/ 0 w 9675628"/>
            <a:gd name="csY42" fmla="*/ 2533119 h 3003698"/>
            <a:gd name="csX43" fmla="*/ 0 w 9675628"/>
            <a:gd name="csY43" fmla="*/ 2092576 h 3003698"/>
            <a:gd name="csX44" fmla="*/ 0 w 9675628"/>
            <a:gd name="csY44" fmla="*/ 1561923 h 3003698"/>
            <a:gd name="csX45" fmla="*/ 0 w 9675628"/>
            <a:gd name="csY45" fmla="*/ 1061307 h 3003698"/>
            <a:gd name="csX46" fmla="*/ 0 w 9675628"/>
            <a:gd name="csY46" fmla="*/ 560690 h 3003698"/>
            <a:gd name="csX47" fmla="*/ 0 w 9675628"/>
            <a:gd name="csY47" fmla="*/ 0 h 30036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</a:cxnLst>
          <a:rect l="l" t="t" r="r" b="b"/>
          <a:pathLst>
            <a:path w="9675628" h="3003698" extrusionOk="0">
              <a:moveTo>
                <a:pt x="0" y="0"/>
              </a:moveTo>
              <a:cubicBezTo>
                <a:pt x="274619" y="-89525"/>
                <a:pt x="508647" y="27338"/>
                <a:pt x="762667" y="0"/>
              </a:cubicBezTo>
              <a:cubicBezTo>
                <a:pt x="1016687" y="-27338"/>
                <a:pt x="1323319" y="71828"/>
                <a:pt x="1525334" y="0"/>
              </a:cubicBezTo>
              <a:cubicBezTo>
                <a:pt x="1727349" y="-71828"/>
                <a:pt x="2042879" y="85154"/>
                <a:pt x="2288001" y="0"/>
              </a:cubicBezTo>
              <a:cubicBezTo>
                <a:pt x="2533123" y="-85154"/>
                <a:pt x="2642531" y="70334"/>
                <a:pt x="2953912" y="0"/>
              </a:cubicBezTo>
              <a:cubicBezTo>
                <a:pt x="3265293" y="-70334"/>
                <a:pt x="3441847" y="67087"/>
                <a:pt x="3619823" y="0"/>
              </a:cubicBezTo>
              <a:cubicBezTo>
                <a:pt x="3797799" y="-67087"/>
                <a:pt x="3905570" y="39030"/>
                <a:pt x="4092221" y="0"/>
              </a:cubicBezTo>
              <a:cubicBezTo>
                <a:pt x="4278872" y="-39030"/>
                <a:pt x="4233455" y="8662"/>
                <a:pt x="4371107" y="0"/>
              </a:cubicBezTo>
              <a:cubicBezTo>
                <a:pt x="4508759" y="-8662"/>
                <a:pt x="4866946" y="35474"/>
                <a:pt x="5037018" y="0"/>
              </a:cubicBezTo>
              <a:cubicBezTo>
                <a:pt x="5207090" y="-35474"/>
                <a:pt x="5194054" y="30954"/>
                <a:pt x="5315904" y="0"/>
              </a:cubicBezTo>
              <a:cubicBezTo>
                <a:pt x="5437754" y="-30954"/>
                <a:pt x="5809382" y="53190"/>
                <a:pt x="6078571" y="0"/>
              </a:cubicBezTo>
              <a:cubicBezTo>
                <a:pt x="6347760" y="-53190"/>
                <a:pt x="6412939" y="38983"/>
                <a:pt x="6744482" y="0"/>
              </a:cubicBezTo>
              <a:cubicBezTo>
                <a:pt x="7076025" y="-38983"/>
                <a:pt x="7131658" y="44484"/>
                <a:pt x="7507149" y="0"/>
              </a:cubicBezTo>
              <a:cubicBezTo>
                <a:pt x="7882640" y="-44484"/>
                <a:pt x="7734966" y="43346"/>
                <a:pt x="7882791" y="0"/>
              </a:cubicBezTo>
              <a:cubicBezTo>
                <a:pt x="8030616" y="-43346"/>
                <a:pt x="8186888" y="53124"/>
                <a:pt x="8355189" y="0"/>
              </a:cubicBezTo>
              <a:cubicBezTo>
                <a:pt x="8523490" y="-53124"/>
                <a:pt x="8832614" y="45898"/>
                <a:pt x="9117857" y="0"/>
              </a:cubicBezTo>
              <a:cubicBezTo>
                <a:pt x="9403100" y="-45898"/>
                <a:pt x="9558252" y="57419"/>
                <a:pt x="9675628" y="0"/>
              </a:cubicBezTo>
              <a:cubicBezTo>
                <a:pt x="9690606" y="230967"/>
                <a:pt x="9669031" y="445695"/>
                <a:pt x="9675628" y="560690"/>
              </a:cubicBezTo>
              <a:cubicBezTo>
                <a:pt x="9682225" y="675685"/>
                <a:pt x="9657456" y="903496"/>
                <a:pt x="9675628" y="1031270"/>
              </a:cubicBezTo>
              <a:cubicBezTo>
                <a:pt x="9693800" y="1159044"/>
                <a:pt x="9674732" y="1274371"/>
                <a:pt x="9675628" y="1471812"/>
              </a:cubicBezTo>
              <a:cubicBezTo>
                <a:pt x="9676524" y="1669253"/>
                <a:pt x="9655976" y="1837231"/>
                <a:pt x="9675628" y="2002465"/>
              </a:cubicBezTo>
              <a:cubicBezTo>
                <a:pt x="9695280" y="2167699"/>
                <a:pt x="9655748" y="2353997"/>
                <a:pt x="9675628" y="2473045"/>
              </a:cubicBezTo>
              <a:cubicBezTo>
                <a:pt x="9695508" y="2592093"/>
                <a:pt x="9648881" y="2744649"/>
                <a:pt x="9675628" y="3003698"/>
              </a:cubicBezTo>
              <a:cubicBezTo>
                <a:pt x="9467807" y="3030929"/>
                <a:pt x="9384836" y="2957198"/>
                <a:pt x="9203230" y="3003698"/>
              </a:cubicBezTo>
              <a:cubicBezTo>
                <a:pt x="9021624" y="3050198"/>
                <a:pt x="8837569" y="2962139"/>
                <a:pt x="8730831" y="3003698"/>
              </a:cubicBezTo>
              <a:cubicBezTo>
                <a:pt x="8624093" y="3045257"/>
                <a:pt x="8363407" y="2956677"/>
                <a:pt x="8161677" y="3003698"/>
              </a:cubicBezTo>
              <a:cubicBezTo>
                <a:pt x="7959947" y="3050719"/>
                <a:pt x="7921247" y="2986182"/>
                <a:pt x="7689278" y="3003698"/>
              </a:cubicBezTo>
              <a:cubicBezTo>
                <a:pt x="7457309" y="3021214"/>
                <a:pt x="7187907" y="2966792"/>
                <a:pt x="7023368" y="3003698"/>
              </a:cubicBezTo>
              <a:cubicBezTo>
                <a:pt x="6858829" y="3040604"/>
                <a:pt x="6670280" y="2967954"/>
                <a:pt x="6550969" y="3003698"/>
              </a:cubicBezTo>
              <a:cubicBezTo>
                <a:pt x="6431658" y="3039442"/>
                <a:pt x="6239042" y="2946364"/>
                <a:pt x="5981815" y="3003698"/>
              </a:cubicBezTo>
              <a:cubicBezTo>
                <a:pt x="5724588" y="3061032"/>
                <a:pt x="5573468" y="2989542"/>
                <a:pt x="5315904" y="3003698"/>
              </a:cubicBezTo>
              <a:cubicBezTo>
                <a:pt x="5058340" y="3017854"/>
                <a:pt x="4754745" y="2979261"/>
                <a:pt x="4553237" y="3003698"/>
              </a:cubicBezTo>
              <a:cubicBezTo>
                <a:pt x="4351729" y="3028135"/>
                <a:pt x="4082079" y="2975814"/>
                <a:pt x="3790570" y="3003698"/>
              </a:cubicBezTo>
              <a:cubicBezTo>
                <a:pt x="3499061" y="3031582"/>
                <a:pt x="3595952" y="2987206"/>
                <a:pt x="3511684" y="3003698"/>
              </a:cubicBezTo>
              <a:cubicBezTo>
                <a:pt x="3427416" y="3020190"/>
                <a:pt x="3351259" y="2980153"/>
                <a:pt x="3232798" y="3003698"/>
              </a:cubicBezTo>
              <a:cubicBezTo>
                <a:pt x="3114337" y="3027243"/>
                <a:pt x="2985615" y="2962420"/>
                <a:pt x="2857156" y="3003698"/>
              </a:cubicBezTo>
              <a:cubicBezTo>
                <a:pt x="2728697" y="3044976"/>
                <a:pt x="2615688" y="2993187"/>
                <a:pt x="2481514" y="3003698"/>
              </a:cubicBezTo>
              <a:cubicBezTo>
                <a:pt x="2347340" y="3014209"/>
                <a:pt x="2118086" y="2997634"/>
                <a:pt x="2009116" y="3003698"/>
              </a:cubicBezTo>
              <a:cubicBezTo>
                <a:pt x="1900146" y="3009762"/>
                <a:pt x="1482154" y="2972062"/>
                <a:pt x="1246449" y="3003698"/>
              </a:cubicBezTo>
              <a:cubicBezTo>
                <a:pt x="1010744" y="3035334"/>
                <a:pt x="1019813" y="2985658"/>
                <a:pt x="870807" y="3003698"/>
              </a:cubicBezTo>
              <a:cubicBezTo>
                <a:pt x="721801" y="3021738"/>
                <a:pt x="677471" y="2977502"/>
                <a:pt x="495164" y="3003698"/>
              </a:cubicBezTo>
              <a:cubicBezTo>
                <a:pt x="312857" y="3029894"/>
                <a:pt x="243396" y="2985131"/>
                <a:pt x="0" y="3003698"/>
              </a:cubicBezTo>
              <a:cubicBezTo>
                <a:pt x="-1117" y="2863018"/>
                <a:pt x="27173" y="2632580"/>
                <a:pt x="0" y="2533119"/>
              </a:cubicBezTo>
              <a:cubicBezTo>
                <a:pt x="-27173" y="2433658"/>
                <a:pt x="14080" y="2268816"/>
                <a:pt x="0" y="2092576"/>
              </a:cubicBezTo>
              <a:cubicBezTo>
                <a:pt x="-14080" y="1916336"/>
                <a:pt x="50237" y="1751398"/>
                <a:pt x="0" y="1561923"/>
              </a:cubicBezTo>
              <a:cubicBezTo>
                <a:pt x="-50237" y="1372448"/>
                <a:pt x="20569" y="1243396"/>
                <a:pt x="0" y="1061307"/>
              </a:cubicBezTo>
              <a:cubicBezTo>
                <a:pt x="-20569" y="879218"/>
                <a:pt x="5380" y="765946"/>
                <a:pt x="0" y="560690"/>
              </a:cubicBezTo>
              <a:cubicBezTo>
                <a:pt x="-5380" y="355434"/>
                <a:pt x="31463" y="182068"/>
                <a:pt x="0" y="0"/>
              </a:cubicBezTo>
              <a:close/>
            </a:path>
          </a:pathLst>
        </a:custGeom>
        <a:noFill/>
        <a:ln w="76200">
          <a:prstDash val="dashDot"/>
          <a:extLst>
            <a:ext uri="{C807C97D-BFC1-408E-A445-0C87EB9F89A2}">
              <ask:lineSketchStyleProps xmlns:ask="http://schemas.microsoft.com/office/drawing/2018/sketchyshapes" sd="852144094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197157</xdr:colOff>
      <xdr:row>19</xdr:row>
      <xdr:rowOff>61291</xdr:rowOff>
    </xdr:from>
    <xdr:to>
      <xdr:col>5</xdr:col>
      <xdr:colOff>793423</xdr:colOff>
      <xdr:row>37</xdr:row>
      <xdr:rowOff>141401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F9A39E-D2A1-7DF4-1C15-91D4A66C3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117835</xdr:colOff>
      <xdr:row>20</xdr:row>
      <xdr:rowOff>113122</xdr:rowOff>
    </xdr:from>
    <xdr:to>
      <xdr:col>12</xdr:col>
      <xdr:colOff>589175</xdr:colOff>
      <xdr:row>35</xdr:row>
      <xdr:rowOff>146116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61583ED-EA9A-D220-7132-8A15BB3A9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an Bhardwaj" refreshedDate="46253.64046412037" createdVersion="8" refreshedVersion="8" minRefreshableVersion="3" recordCount="7" xr:uid="{48362BF6-A2F4-4D31-B138-13B76C3AB60E}">
  <cacheSource type="worksheet">
    <worksheetSource ref="A12:I19" sheet="d"/>
  </cacheSource>
  <cacheFields count="9">
    <cacheField name="empId" numFmtId="0">
      <sharedItems containsSemiMixedTypes="0" containsString="0" containsNumber="1" containsInteger="1" minValue="1" maxValue="7"/>
    </cacheField>
    <cacheField name="Names" numFmtId="0">
      <sharedItems count="7">
        <s v="ravi"/>
        <s v="parah"/>
        <s v="Amit"/>
        <s v="mnikhil"/>
        <s v="mohan"/>
        <s v="vidhan"/>
        <s v="rekha"/>
      </sharedItems>
    </cacheField>
    <cacheField name="sales" numFmtId="0">
      <sharedItems containsSemiMixedTypes="0" containsString="0" containsNumber="1" containsInteger="1" minValue="21" maxValue="56"/>
    </cacheField>
    <cacheField name="location" numFmtId="0">
      <sharedItems count="2">
        <s v="delhi"/>
        <s v="goa"/>
      </sharedItems>
    </cacheField>
    <cacheField name="product" numFmtId="0">
      <sharedItems count="3">
        <s v="book"/>
        <s v="pen"/>
        <s v="laptop"/>
      </sharedItems>
    </cacheField>
    <cacheField name="empId2" numFmtId="0">
      <sharedItems containsString="0" containsBlank="1" containsNumber="1" containsInteger="1" minValue="2" maxValue="5"/>
    </cacheField>
    <cacheField name="Names2" numFmtId="0">
      <sharedItems containsBlank="1"/>
    </cacheField>
    <cacheField name="sales2" numFmtId="0">
      <sharedItems containsString="0" containsBlank="1" containsNumber="1" containsInteger="1" minValue="21" maxValue="52"/>
    </cacheField>
    <cacheField name="product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"/>
    <x v="0"/>
    <n v="21"/>
    <x v="0"/>
    <x v="0"/>
    <n v="4"/>
    <s v="parah"/>
    <n v="23"/>
    <s v="delhi"/>
  </r>
  <r>
    <n v="4"/>
    <x v="1"/>
    <n v="23"/>
    <x v="0"/>
    <x v="1"/>
    <n v="5"/>
    <s v="vidhan"/>
    <n v="52"/>
    <s v="delhi"/>
  </r>
  <r>
    <n v="1"/>
    <x v="2"/>
    <n v="32"/>
    <x v="1"/>
    <x v="1"/>
    <n v="3"/>
    <s v="mohan"/>
    <n v="52"/>
    <s v="delhi"/>
  </r>
  <r>
    <n v="6"/>
    <x v="3"/>
    <n v="46"/>
    <x v="0"/>
    <x v="0"/>
    <n v="2"/>
    <s v="ravi"/>
    <n v="21"/>
    <e v="#N/A"/>
  </r>
  <r>
    <n v="3"/>
    <x v="4"/>
    <n v="52"/>
    <x v="0"/>
    <x v="2"/>
    <m/>
    <m/>
    <m/>
    <m/>
  </r>
  <r>
    <n v="5"/>
    <x v="5"/>
    <n v="52"/>
    <x v="0"/>
    <x v="1"/>
    <m/>
    <m/>
    <m/>
    <m/>
  </r>
  <r>
    <n v="7"/>
    <x v="6"/>
    <n v="56"/>
    <x v="0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10A5D-4A01-4E01-98FD-7CDF244303EC}" name="PivotTable1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1:C8" firstHeaderRow="1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4"/>
        <item x="1"/>
        <item x="0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1"/>
  </rowFields>
  <rowItems count="7">
    <i>
      <x/>
      <x v="1"/>
    </i>
    <i r="1">
      <x v="2"/>
    </i>
    <i r="1">
      <x v="3"/>
    </i>
    <i r="1">
      <x v="4"/>
    </i>
    <i r="1">
      <x v="5"/>
    </i>
    <i r="1">
      <x v="6"/>
    </i>
    <i>
      <x v="1"/>
      <x/>
    </i>
  </rowItems>
  <colItems count="1">
    <i/>
  </colItems>
  <dataFields count="1">
    <dataField name="Count of locatio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B180D-ACC4-48EC-AC0D-0D490ACD5D8E}" name="Table1" displayName="Table1" ref="T1:W10" totalsRowShown="0" headerRowDxfId="11" headerRowBorderDxfId="10" tableBorderDxfId="9" totalsRowBorderDxfId="8">
  <autoFilter ref="T1:W10" xr:uid="{571B180D-ACC4-48EC-AC0D-0D490ACD5D8E}"/>
  <tableColumns count="4">
    <tableColumn id="1" xr3:uid="{19DF896C-0252-4FC4-BB02-EF48FEB7C455}" name="EmpLD" dataDxfId="7"/>
    <tableColumn id="2" xr3:uid="{2C1F93C9-B0C8-44BC-96C4-5D738C1B18EA}" name="Name" dataDxfId="6"/>
    <tableColumn id="3" xr3:uid="{D703F24A-795D-4B38-8305-ECC6838FCB43}" name="Sale" dataDxfId="5"/>
    <tableColumn id="4" xr3:uid="{6749E199-5CB3-424B-A900-A5704BC15FBE}" name="Produc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2A31-9846-4A1A-8ACD-62775FF5229B}">
  <dimension ref="A1:C8"/>
  <sheetViews>
    <sheetView topLeftCell="B1" zoomScale="116" workbookViewId="0"/>
  </sheetViews>
  <sheetFormatPr defaultRowHeight="14.4" x14ac:dyDescent="0.3"/>
  <cols>
    <col min="1" max="1" width="10" bestFit="1" customWidth="1"/>
    <col min="2" max="2" width="9.109375" bestFit="1" customWidth="1"/>
    <col min="3" max="3" width="15.21875" bestFit="1" customWidth="1"/>
    <col min="4" max="4" width="15" bestFit="1" customWidth="1"/>
  </cols>
  <sheetData>
    <row r="1" spans="1:3" x14ac:dyDescent="0.3">
      <c r="A1" s="4" t="s">
        <v>43</v>
      </c>
      <c r="B1" s="4" t="s">
        <v>24</v>
      </c>
      <c r="C1" t="s">
        <v>46</v>
      </c>
    </row>
    <row r="2" spans="1:3" x14ac:dyDescent="0.3">
      <c r="A2" t="s">
        <v>44</v>
      </c>
      <c r="B2" t="s">
        <v>30</v>
      </c>
      <c r="C2">
        <v>1</v>
      </c>
    </row>
    <row r="3" spans="1:3" x14ac:dyDescent="0.3">
      <c r="A3" t="s">
        <v>44</v>
      </c>
      <c r="B3" t="s">
        <v>27</v>
      </c>
      <c r="C3">
        <v>1</v>
      </c>
    </row>
    <row r="4" spans="1:3" x14ac:dyDescent="0.3">
      <c r="A4" t="s">
        <v>44</v>
      </c>
      <c r="B4" t="s">
        <v>28</v>
      </c>
      <c r="C4">
        <v>1</v>
      </c>
    </row>
    <row r="5" spans="1:3" x14ac:dyDescent="0.3">
      <c r="A5" t="s">
        <v>44</v>
      </c>
      <c r="B5" t="s">
        <v>26</v>
      </c>
      <c r="C5">
        <v>1</v>
      </c>
    </row>
    <row r="6" spans="1:3" x14ac:dyDescent="0.3">
      <c r="A6" t="s">
        <v>44</v>
      </c>
      <c r="B6" t="s">
        <v>31</v>
      </c>
      <c r="C6">
        <v>1</v>
      </c>
    </row>
    <row r="7" spans="1:3" x14ac:dyDescent="0.3">
      <c r="A7" t="s">
        <v>44</v>
      </c>
      <c r="B7" t="s">
        <v>29</v>
      </c>
      <c r="C7">
        <v>1</v>
      </c>
    </row>
    <row r="8" spans="1:3" x14ac:dyDescent="0.3">
      <c r="A8" t="s">
        <v>45</v>
      </c>
      <c r="B8" t="s">
        <v>25</v>
      </c>
      <c r="C8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C3B7-39AE-4C33-83B3-68FBB5E6741E}">
  <dimension ref="A1:AD19"/>
  <sheetViews>
    <sheetView tabSelected="1" zoomScale="86" zoomScaleNormal="187" workbookViewId="0">
      <selection activeCell="AC3" sqref="AC3"/>
    </sheetView>
  </sheetViews>
  <sheetFormatPr defaultRowHeight="14.4" x14ac:dyDescent="0.3"/>
  <cols>
    <col min="1" max="1" width="13" customWidth="1"/>
    <col min="2" max="2" width="14.6640625" customWidth="1"/>
    <col min="6" max="6" width="12.5546875" customWidth="1"/>
    <col min="8" max="8" width="12.44140625" bestFit="1" customWidth="1"/>
    <col min="9" max="9" width="11.5546875" bestFit="1" customWidth="1"/>
    <col min="20" max="20" width="9" customWidth="1"/>
    <col min="23" max="23" width="9.77734375" customWidth="1"/>
    <col min="25" max="25" width="25" customWidth="1"/>
  </cols>
  <sheetData>
    <row r="1" spans="1:30" x14ac:dyDescent="0.3">
      <c r="A1" s="3" t="s">
        <v>1</v>
      </c>
      <c r="B1" s="3" t="s">
        <v>13</v>
      </c>
      <c r="C1" s="3" t="s">
        <v>20</v>
      </c>
      <c r="D1" s="3" t="s">
        <v>14</v>
      </c>
      <c r="G1" t="s">
        <v>15</v>
      </c>
      <c r="M1" s="2" t="s">
        <v>19</v>
      </c>
      <c r="R1" t="s">
        <v>58</v>
      </c>
      <c r="T1" s="8" t="s">
        <v>49</v>
      </c>
      <c r="U1" s="9" t="s">
        <v>50</v>
      </c>
      <c r="V1" s="9" t="s">
        <v>51</v>
      </c>
      <c r="W1" s="10" t="s">
        <v>52</v>
      </c>
      <c r="Y1" s="2" t="s">
        <v>49</v>
      </c>
      <c r="Z1" s="2" t="s">
        <v>50</v>
      </c>
      <c r="AA1" s="2" t="s">
        <v>51</v>
      </c>
      <c r="AB1" s="2" t="s">
        <v>52</v>
      </c>
    </row>
    <row r="2" spans="1:30" x14ac:dyDescent="0.3">
      <c r="A2" s="3" t="s">
        <v>2</v>
      </c>
      <c r="B2" s="3">
        <v>6</v>
      </c>
      <c r="C2" s="3"/>
      <c r="D2" s="3">
        <f t="shared" ref="D2:D9" si="0">B2*$G$2</f>
        <v>1200</v>
      </c>
      <c r="G2">
        <v>200</v>
      </c>
      <c r="T2" s="6">
        <v>1</v>
      </c>
      <c r="U2" s="3" t="s">
        <v>53</v>
      </c>
      <c r="V2" s="3">
        <v>7</v>
      </c>
      <c r="W2" s="7" t="s">
        <v>33</v>
      </c>
      <c r="Z2" t="s">
        <v>55</v>
      </c>
      <c r="AA2">
        <f>VLOOKUP(Z2,U2:W10,2,0)</f>
        <v>4</v>
      </c>
      <c r="AB2" t="str">
        <f>VLOOKUP($Z2,$U$2:$W$10,3,0)</f>
        <v>pen</v>
      </c>
      <c r="AD2" t="s">
        <v>73</v>
      </c>
    </row>
    <row r="3" spans="1:30" x14ac:dyDescent="0.3">
      <c r="A3" s="3" t="s">
        <v>3</v>
      </c>
      <c r="B3" s="3">
        <v>42</v>
      </c>
      <c r="C3" s="3"/>
      <c r="D3" s="3">
        <f t="shared" si="0"/>
        <v>8400</v>
      </c>
      <c r="F3" t="s">
        <v>8</v>
      </c>
      <c r="G3" t="s">
        <v>9</v>
      </c>
      <c r="H3" t="s">
        <v>12</v>
      </c>
      <c r="M3" t="s">
        <v>16</v>
      </c>
      <c r="T3" s="6">
        <v>2</v>
      </c>
      <c r="U3" s="3" t="s">
        <v>26</v>
      </c>
      <c r="V3" s="3">
        <v>20</v>
      </c>
      <c r="W3" s="7" t="s">
        <v>34</v>
      </c>
      <c r="Z3" t="s">
        <v>56</v>
      </c>
      <c r="AA3">
        <f>VLOOKUP(Z3,U3:W10,2,0)</f>
        <v>12</v>
      </c>
      <c r="AB3" t="str">
        <f>VLOOKUP($Z3,$U$2:$W$10,3,0)</f>
        <v>book</v>
      </c>
      <c r="AD3" t="s">
        <v>59</v>
      </c>
    </row>
    <row r="4" spans="1:30" x14ac:dyDescent="0.3">
      <c r="A4" s="3" t="s">
        <v>5</v>
      </c>
      <c r="B4" s="3">
        <v>49</v>
      </c>
      <c r="C4" s="3"/>
      <c r="D4" s="3">
        <f t="shared" si="0"/>
        <v>9800</v>
      </c>
      <c r="F4" t="s">
        <v>10</v>
      </c>
      <c r="G4" t="s">
        <v>11</v>
      </c>
      <c r="H4" t="str">
        <f>_xlfn.CONCAT(F4," ",G4)</f>
        <v>ranbir kapoor</v>
      </c>
      <c r="M4" t="s">
        <v>17</v>
      </c>
      <c r="T4" s="6">
        <v>3</v>
      </c>
      <c r="U4" s="3" t="s">
        <v>54</v>
      </c>
      <c r="V4" s="3">
        <v>10</v>
      </c>
      <c r="W4" s="7" t="s">
        <v>35</v>
      </c>
      <c r="Y4">
        <v>233</v>
      </c>
      <c r="Z4" t="e">
        <f>VLOOKUP(Y4,T:W,2,0)</f>
        <v>#N/A</v>
      </c>
      <c r="AD4" t="s">
        <v>74</v>
      </c>
    </row>
    <row r="5" spans="1:30" x14ac:dyDescent="0.3">
      <c r="A5" s="3" t="s">
        <v>6</v>
      </c>
      <c r="B5" s="3">
        <v>4</v>
      </c>
      <c r="C5" s="3"/>
      <c r="D5" s="3">
        <f t="shared" si="0"/>
        <v>800</v>
      </c>
      <c r="H5" t="str">
        <f>F4&amp;" "&amp;G4</f>
        <v>ranbir kapoor</v>
      </c>
      <c r="T5" s="6">
        <v>4</v>
      </c>
      <c r="U5" s="3" t="s">
        <v>55</v>
      </c>
      <c r="V5" s="3">
        <v>4</v>
      </c>
      <c r="W5" s="7" t="s">
        <v>33</v>
      </c>
      <c r="Y5">
        <v>9</v>
      </c>
      <c r="Z5" t="str">
        <f>VLOOKUP(Y5,T:W,2,0)</f>
        <v>dadjv</v>
      </c>
      <c r="AD5" t="s">
        <v>60</v>
      </c>
    </row>
    <row r="6" spans="1:30" x14ac:dyDescent="0.3">
      <c r="A6" s="3" t="s">
        <v>2</v>
      </c>
      <c r="B6" s="3">
        <v>32</v>
      </c>
      <c r="C6" s="3"/>
      <c r="D6" s="3">
        <f t="shared" si="0"/>
        <v>6400</v>
      </c>
      <c r="M6" t="s">
        <v>18</v>
      </c>
      <c r="T6" s="6">
        <v>2344</v>
      </c>
      <c r="U6" s="3" t="s">
        <v>29</v>
      </c>
      <c r="V6" s="3">
        <v>8</v>
      </c>
      <c r="W6" s="7" t="s">
        <v>33</v>
      </c>
    </row>
    <row r="7" spans="1:30" x14ac:dyDescent="0.3">
      <c r="A7" s="3" t="s">
        <v>3</v>
      </c>
      <c r="B7" s="3">
        <v>5446</v>
      </c>
      <c r="C7" s="3"/>
      <c r="D7" s="3">
        <f t="shared" si="0"/>
        <v>1089200</v>
      </c>
      <c r="F7" t="s">
        <v>0</v>
      </c>
      <c r="G7">
        <f>SUM(B2:B5)</f>
        <v>101</v>
      </c>
      <c r="T7" s="6">
        <v>6</v>
      </c>
      <c r="U7" s="3" t="s">
        <v>56</v>
      </c>
      <c r="V7" s="3">
        <v>12</v>
      </c>
      <c r="W7" s="7" t="s">
        <v>34</v>
      </c>
      <c r="Y7">
        <v>1</v>
      </c>
    </row>
    <row r="8" spans="1:30" x14ac:dyDescent="0.3">
      <c r="A8" s="3" t="s">
        <v>5</v>
      </c>
      <c r="B8" s="3">
        <v>24</v>
      </c>
      <c r="C8" s="3"/>
      <c r="D8" s="3">
        <f t="shared" si="0"/>
        <v>4800</v>
      </c>
      <c r="F8" t="s">
        <v>4</v>
      </c>
      <c r="G8">
        <f>MAX(B2:B5)</f>
        <v>49</v>
      </c>
      <c r="M8" t="s">
        <v>21</v>
      </c>
      <c r="T8" s="6">
        <v>211</v>
      </c>
      <c r="U8" s="3" t="s">
        <v>57</v>
      </c>
      <c r="V8" s="3">
        <v>3</v>
      </c>
      <c r="W8" s="7" t="s">
        <v>35</v>
      </c>
      <c r="Y8" t="str">
        <f>VLOOKUP(Y7,Table1[#All],2,TRUE)</f>
        <v>amit</v>
      </c>
    </row>
    <row r="9" spans="1:30" x14ac:dyDescent="0.3">
      <c r="A9" s="3" t="s">
        <v>6</v>
      </c>
      <c r="B9" s="3">
        <v>1</v>
      </c>
      <c r="C9" s="3"/>
      <c r="D9" s="3">
        <f t="shared" si="0"/>
        <v>200</v>
      </c>
      <c r="F9" t="s">
        <v>7</v>
      </c>
      <c r="G9">
        <f>MIN(B2:B5)</f>
        <v>4</v>
      </c>
      <c r="T9" s="11">
        <v>8</v>
      </c>
      <c r="U9" s="12" t="s">
        <v>31</v>
      </c>
      <c r="V9" s="12">
        <v>9</v>
      </c>
      <c r="W9" s="13" t="s">
        <v>34</v>
      </c>
    </row>
    <row r="10" spans="1:30" x14ac:dyDescent="0.3">
      <c r="M10" t="s">
        <v>22</v>
      </c>
      <c r="T10" s="11">
        <v>9</v>
      </c>
      <c r="U10" s="12" t="s">
        <v>69</v>
      </c>
      <c r="V10" s="12"/>
      <c r="W10" s="13"/>
      <c r="Z10" t="s">
        <v>50</v>
      </c>
    </row>
    <row r="11" spans="1:30" x14ac:dyDescent="0.3">
      <c r="B11" s="1" t="s">
        <v>40</v>
      </c>
      <c r="D11" s="1" t="s">
        <v>42</v>
      </c>
      <c r="G11" s="1" t="s">
        <v>41</v>
      </c>
      <c r="Y11" t="s">
        <v>72</v>
      </c>
      <c r="Z11" s="15" t="str">
        <f>VLOOKUP(MAX(T:T),T:W,2,TRUE)</f>
        <v>saf</v>
      </c>
    </row>
    <row r="12" spans="1:30" x14ac:dyDescent="0.3">
      <c r="A12" s="3" t="s">
        <v>36</v>
      </c>
      <c r="B12" s="3" t="s">
        <v>24</v>
      </c>
      <c r="C12" s="3" t="s">
        <v>23</v>
      </c>
      <c r="D12" s="5"/>
      <c r="E12" s="3" t="s">
        <v>32</v>
      </c>
      <c r="F12" s="3" t="s">
        <v>36</v>
      </c>
      <c r="G12" s="3" t="s">
        <v>24</v>
      </c>
      <c r="H12" s="3" t="s">
        <v>23</v>
      </c>
      <c r="I12" s="3" t="s">
        <v>32</v>
      </c>
    </row>
    <row r="13" spans="1:30" x14ac:dyDescent="0.3">
      <c r="A13" s="3">
        <v>2</v>
      </c>
      <c r="B13" s="3" t="s">
        <v>26</v>
      </c>
      <c r="C13" s="3">
        <v>21</v>
      </c>
      <c r="E13" s="3" t="s">
        <v>34</v>
      </c>
      <c r="F13" s="3">
        <v>4</v>
      </c>
      <c r="G13" s="3" t="str">
        <f>VLOOKUP($F13,$A$12:$E$19,2,0)</f>
        <v>parah</v>
      </c>
      <c r="H13" s="3">
        <f>VLOOKUP($F13,$A$12:$E$19,3,0)</f>
        <v>23</v>
      </c>
      <c r="I13" s="3">
        <f>VLOOKUP($F13,A11:D18,4,0)</f>
        <v>0</v>
      </c>
      <c r="L13" t="s">
        <v>48</v>
      </c>
      <c r="M13" t="s">
        <v>47</v>
      </c>
      <c r="T13">
        <v>322</v>
      </c>
      <c r="U13">
        <v>32</v>
      </c>
    </row>
    <row r="14" spans="1:30" x14ac:dyDescent="0.3">
      <c r="A14" s="3">
        <v>4</v>
      </c>
      <c r="B14" s="3" t="s">
        <v>28</v>
      </c>
      <c r="C14" s="3">
        <v>23</v>
      </c>
      <c r="E14" s="3" t="s">
        <v>33</v>
      </c>
      <c r="F14" s="3">
        <v>5</v>
      </c>
      <c r="G14" s="3" t="str">
        <f>VLOOKUP(F14,$A$12:$E$19,2,0)</f>
        <v>vidhan</v>
      </c>
      <c r="H14" s="3">
        <f>VLOOKUP($F14,$A$12:$E$19,3,0)</f>
        <v>52</v>
      </c>
      <c r="I14" s="3">
        <f>VLOOKUP($F14,A12:E19,4,0)</f>
        <v>0</v>
      </c>
    </row>
    <row r="15" spans="1:30" x14ac:dyDescent="0.3">
      <c r="A15" s="3">
        <v>1</v>
      </c>
      <c r="B15" s="3" t="s">
        <v>25</v>
      </c>
      <c r="C15" s="3">
        <v>32</v>
      </c>
      <c r="E15" s="3" t="s">
        <v>33</v>
      </c>
      <c r="F15" s="3">
        <v>3</v>
      </c>
      <c r="G15" s="3" t="str">
        <f>VLOOKUP(F15,$A$12:$E$19,2,0)</f>
        <v>mohan</v>
      </c>
      <c r="H15" s="3">
        <f>VLOOKUP($F15,$A$12:$E$19,3,0)</f>
        <v>52</v>
      </c>
      <c r="I15" s="3">
        <f t="shared" ref="I15:I16" si="1">VLOOKUP($F15,A13:D20,4,0)</f>
        <v>0</v>
      </c>
      <c r="L15" t="s">
        <v>71</v>
      </c>
      <c r="M15" t="s">
        <v>37</v>
      </c>
      <c r="N15" t="s">
        <v>38</v>
      </c>
      <c r="T15">
        <v>234</v>
      </c>
      <c r="U15" t="s">
        <v>70</v>
      </c>
    </row>
    <row r="16" spans="1:30" x14ac:dyDescent="0.3">
      <c r="A16" s="3">
        <v>6</v>
      </c>
      <c r="B16" s="3" t="s">
        <v>30</v>
      </c>
      <c r="C16" s="3">
        <v>46</v>
      </c>
      <c r="E16" s="3" t="s">
        <v>34</v>
      </c>
      <c r="F16" s="3">
        <v>2</v>
      </c>
      <c r="G16" s="3" t="str">
        <f>VLOOKUP(F16,$A$12:$E$19,2,0)</f>
        <v>ravi</v>
      </c>
      <c r="H16" s="3">
        <f>VLOOKUP($F16,$A$12:$E$19,3,0)</f>
        <v>21</v>
      </c>
      <c r="I16" s="3" t="e">
        <f t="shared" si="1"/>
        <v>#N/A</v>
      </c>
    </row>
    <row r="17" spans="1:13" x14ac:dyDescent="0.3">
      <c r="A17" s="3">
        <v>3</v>
      </c>
      <c r="B17" s="3" t="s">
        <v>27</v>
      </c>
      <c r="C17" s="3">
        <v>52</v>
      </c>
      <c r="E17" s="3" t="s">
        <v>35</v>
      </c>
      <c r="M17" t="s">
        <v>39</v>
      </c>
    </row>
    <row r="18" spans="1:13" x14ac:dyDescent="0.3">
      <c r="A18" s="3">
        <v>5</v>
      </c>
      <c r="B18" s="3" t="s">
        <v>29</v>
      </c>
      <c r="C18" s="3">
        <v>52</v>
      </c>
      <c r="E18" s="3" t="s">
        <v>33</v>
      </c>
    </row>
    <row r="19" spans="1:13" x14ac:dyDescent="0.3">
      <c r="A19" s="3">
        <v>7</v>
      </c>
      <c r="B19" s="3" t="s">
        <v>31</v>
      </c>
      <c r="C19" s="3">
        <v>56</v>
      </c>
      <c r="E19" s="3" t="s">
        <v>35</v>
      </c>
    </row>
  </sheetData>
  <autoFilter ref="A12:D19" xr:uid="{E792C3B7-39AE-4C33-83B3-68FBB5E6741E}"/>
  <sortState xmlns:xlrd2="http://schemas.microsoft.com/office/spreadsheetml/2017/richdata2" ref="A13:D19">
    <sortCondition ref="C12:C19"/>
  </sortState>
  <conditionalFormatting sqref="A13:A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{DD38C44F-63C1-43C6-8759-0A908FFB7A1F}</x14:id>
        </ext>
      </extLst>
    </cfRule>
  </conditionalFormatting>
  <conditionalFormatting sqref="B2:B9">
    <cfRule type="top10" dxfId="3" priority="9" rank="1"/>
    <cfRule type="top10" priority="10" rank="1"/>
  </conditionalFormatting>
  <conditionalFormatting sqref="C13:C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38C44F-63C1-43C6-8759-0A908FFB7A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A13:A19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9448-BDD5-43BA-8374-7A4D834E48B7}">
  <dimension ref="A1:E9"/>
  <sheetViews>
    <sheetView zoomScale="73" zoomScaleNormal="325" workbookViewId="0">
      <selection activeCell="Y1" sqref="Y1"/>
    </sheetView>
  </sheetViews>
  <sheetFormatPr defaultRowHeight="14.4" x14ac:dyDescent="0.3"/>
  <sheetData>
    <row r="1" spans="1:5" x14ac:dyDescent="0.3">
      <c r="A1" t="s">
        <v>61</v>
      </c>
      <c r="B1" t="s">
        <v>62</v>
      </c>
      <c r="E1" t="s">
        <v>68</v>
      </c>
    </row>
    <row r="2" spans="1:5" x14ac:dyDescent="0.3">
      <c r="A2" s="15" t="s">
        <v>26</v>
      </c>
      <c r="B2">
        <v>10</v>
      </c>
    </row>
    <row r="3" spans="1:5" x14ac:dyDescent="0.3">
      <c r="A3" s="15" t="s">
        <v>65</v>
      </c>
      <c r="B3">
        <v>60</v>
      </c>
    </row>
    <row r="4" spans="1:5" x14ac:dyDescent="0.3">
      <c r="A4" s="15" t="s">
        <v>63</v>
      </c>
      <c r="B4">
        <v>30</v>
      </c>
    </row>
    <row r="5" spans="1:5" x14ac:dyDescent="0.3">
      <c r="A5" s="15" t="s">
        <v>64</v>
      </c>
      <c r="B5">
        <v>50</v>
      </c>
    </row>
    <row r="6" spans="1:5" x14ac:dyDescent="0.3">
      <c r="A6" s="14" t="s">
        <v>67</v>
      </c>
      <c r="B6">
        <v>10</v>
      </c>
    </row>
    <row r="7" spans="1:5" x14ac:dyDescent="0.3">
      <c r="A7" s="15" t="s">
        <v>66</v>
      </c>
      <c r="B7">
        <v>10</v>
      </c>
    </row>
    <row r="8" spans="1:5" x14ac:dyDescent="0.3">
      <c r="A8" s="14" t="s">
        <v>65</v>
      </c>
      <c r="B8">
        <v>80</v>
      </c>
    </row>
    <row r="9" spans="1:5" x14ac:dyDescent="0.3">
      <c r="A9" s="15" t="s">
        <v>31</v>
      </c>
      <c r="B9">
        <v>90</v>
      </c>
    </row>
  </sheetData>
  <conditionalFormatting sqref="A2:A9">
    <cfRule type="cellIs" dxfId="2" priority="1" operator="notEqual">
      <formula>"vijay"</formula>
    </cfRule>
    <cfRule type="cellIs" dxfId="1" priority="2" operator="equal">
      <formula>"vijay"</formula>
    </cfRule>
  </conditionalFormatting>
  <conditionalFormatting sqref="B2:B9">
    <cfRule type="uniqu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9897-6C50-43BC-BA53-31050F2C490C}">
  <dimension ref="A1"/>
  <sheetViews>
    <sheetView zoomScale="192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9E91-B57D-4D02-BEA0-BE29204B545C}">
  <dimension ref="A1"/>
  <sheetViews>
    <sheetView zoomScale="187"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EC5F-7761-4E2C-ACC1-FF3BB78FAC03}">
  <dimension ref="A1"/>
  <sheetViews>
    <sheetView workbookViewId="0">
      <selection activeCell="J23" sqref="J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</vt:lpstr>
      <vt:lpstr>Sheet3</vt:lpstr>
      <vt:lpstr>sad</vt:lpstr>
      <vt:lpstr>Sheet1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Bhardwaj</dc:creator>
  <cp:lastModifiedBy>Darshan Bhardwaj</cp:lastModifiedBy>
  <dcterms:created xsi:type="dcterms:W3CDTF">2026-08-12T08:31:41Z</dcterms:created>
  <dcterms:modified xsi:type="dcterms:W3CDTF">2026-09-01T08:02:57Z</dcterms:modified>
</cp:coreProperties>
</file>