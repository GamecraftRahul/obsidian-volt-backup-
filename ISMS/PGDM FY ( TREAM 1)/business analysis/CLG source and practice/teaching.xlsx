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cuments\Obsidian Vault\ISMS\PGDM FY ( TREAM 1)\business analysis\CLG source and practice\"/>
    </mc:Choice>
  </mc:AlternateContent>
  <xr:revisionPtr revIDLastSave="0" documentId="13_ncr:1_{3AB4B6E7-B9C9-4F49-BC9E-B1126FE5470C}" xr6:coauthVersionLast="47" xr6:coauthVersionMax="47" xr10:uidLastSave="{00000000-0000-0000-0000-000000000000}"/>
  <bookViews>
    <workbookView xWindow="-108" yWindow="-108" windowWidth="23256" windowHeight="14616" activeTab="4" xr2:uid="{A02E834C-DC8B-4D5C-AC9A-B4F77F1604E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solver_adj" localSheetId="0" hidden="1">Sheet1!$M$20:$P$23</definedName>
    <definedName name="solver_adj" localSheetId="1" hidden="1">Sheet2!$G$20:$K$24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2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Sheet1!$M$20:$P$23</definedName>
    <definedName name="solver_lhs1" localSheetId="1" hidden="1">Sheet2!$G$20:$K$24</definedName>
    <definedName name="solver_lhs2" localSheetId="0" hidden="1">Sheet1!$M$24:$P$24</definedName>
    <definedName name="solver_lhs2" localSheetId="1" hidden="1">Sheet2!$G$26:$K$26</definedName>
    <definedName name="solver_lhs3" localSheetId="0" hidden="1">Sheet1!$Q$20:$Q$23</definedName>
    <definedName name="solver_lhs3" localSheetId="1" hidden="1">Sheet2!$H$31:$H$35</definedName>
    <definedName name="solver_lhs4" localSheetId="1" hidden="1">Sheet2!$L$20:$L$24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Sheet1!$R$28</definedName>
    <definedName name="solver_opt" localSheetId="1" hidden="1">Sheet2!$O$30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el1" localSheetId="0" hidden="1">5</definedName>
    <definedName name="solver_rel1" localSheetId="1" hidden="1">5</definedName>
    <definedName name="solver_rel2" localSheetId="0" hidden="1">2</definedName>
    <definedName name="solver_rel2" localSheetId="1" hidden="1">2</definedName>
    <definedName name="solver_rel3" localSheetId="0" hidden="1">2</definedName>
    <definedName name="solver_rel3" localSheetId="1" hidden="1">2</definedName>
    <definedName name="solver_rel4" localSheetId="1" hidden="1">2</definedName>
    <definedName name="solver_rhs1" localSheetId="0" hidden="1">"binary"</definedName>
    <definedName name="solver_rhs1" localSheetId="1" hidden="1">"binary"</definedName>
    <definedName name="solver_rhs2" localSheetId="0" hidden="1">Sheet1!$M$26:$P$26</definedName>
    <definedName name="solver_rhs2" localSheetId="1" hidden="1">Sheet2!$G$28:$K$28</definedName>
    <definedName name="solver_rhs3" localSheetId="0" hidden="1">Sheet1!$S$20:$S$23</definedName>
    <definedName name="solver_rhs3" localSheetId="1" hidden="1">Sheet2!$J$31:$J$35</definedName>
    <definedName name="solver_rhs4" localSheetId="1" hidden="1">Sheet2!$N$20:$N$24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5" l="1" a="1"/>
  <c r="E14" i="5"/>
  <c r="E13" i="5"/>
  <c r="E1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E7" i="5"/>
  <c r="B2" i="5" s="1"/>
  <c r="E8" i="5"/>
  <c r="E6" i="5"/>
  <c r="J14" i="4"/>
  <c r="U15" i="4"/>
  <c r="L10" i="4"/>
  <c r="V11" i="4"/>
  <c r="M8" i="4"/>
  <c r="U11" i="4"/>
  <c r="T10" i="4"/>
  <c r="U10" i="4"/>
  <c r="L8" i="4"/>
  <c r="K7" i="4"/>
  <c r="L7" i="4"/>
  <c r="R5" i="4"/>
  <c r="R6" i="4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4" i="4"/>
  <c r="R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3" i="4"/>
  <c r="Q19" i="4"/>
  <c r="J4" i="4"/>
  <c r="J5" i="4"/>
  <c r="J6" i="4"/>
  <c r="J7" i="4"/>
  <c r="J8" i="4"/>
  <c r="J9" i="4"/>
  <c r="J10" i="4"/>
  <c r="J11" i="4"/>
  <c r="J12" i="4"/>
  <c r="J13" i="4"/>
  <c r="J3" i="4"/>
  <c r="J2" i="4"/>
  <c r="I15" i="4"/>
  <c r="H33" i="2"/>
  <c r="O30" i="2"/>
  <c r="H35" i="2"/>
  <c r="H34" i="2"/>
  <c r="H32" i="2"/>
  <c r="H31" i="2"/>
  <c r="L21" i="2"/>
  <c r="L22" i="2"/>
  <c r="L23" i="2"/>
  <c r="L24" i="2"/>
  <c r="L20" i="2"/>
  <c r="H26" i="2"/>
  <c r="I26" i="2"/>
  <c r="J26" i="2"/>
  <c r="K26" i="2"/>
  <c r="G26" i="2"/>
  <c r="R28" i="1"/>
  <c r="Q21" i="1"/>
  <c r="Q22" i="1"/>
  <c r="Q23" i="1"/>
  <c r="Q20" i="1"/>
  <c r="N24" i="1"/>
  <c r="O24" i="1"/>
  <c r="P24" i="1"/>
  <c r="M24" i="1"/>
  <c r="I14" i="1"/>
  <c r="I13" i="1"/>
  <c r="H3" i="4" l="1"/>
  <c r="H7" i="4"/>
  <c r="H10" i="4"/>
  <c r="H4" i="4"/>
  <c r="H5" i="4"/>
  <c r="H8" i="4"/>
  <c r="H9" i="4"/>
  <c r="H6" i="4"/>
  <c r="H11" i="4"/>
  <c r="H12" i="4"/>
  <c r="H13" i="4"/>
  <c r="H14" i="4"/>
  <c r="H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<sst xmlns="http://schemas.openxmlformats.org/spreadsheetml/2006/main" count="141" uniqueCount="64">
  <si>
    <t xml:space="preserve"> </t>
  </si>
  <si>
    <t>W1</t>
  </si>
  <si>
    <t>W2</t>
  </si>
  <si>
    <t>W3</t>
  </si>
  <si>
    <t>W4</t>
  </si>
  <si>
    <t>M1</t>
  </si>
  <si>
    <t>M2</t>
  </si>
  <si>
    <t>M3</t>
  </si>
  <si>
    <t>M4</t>
  </si>
  <si>
    <t>CURRENT ALLOCATION</t>
  </si>
  <si>
    <t xml:space="preserve">SUM </t>
  </si>
  <si>
    <t>MY SUMPTION</t>
  </si>
  <si>
    <t>2ND TRY</t>
  </si>
  <si>
    <t>TODAY</t>
  </si>
  <si>
    <t>OPTIMUM</t>
  </si>
  <si>
    <t>_</t>
  </si>
  <si>
    <t xml:space="preserve">OPTIMUM CONSUMTION </t>
  </si>
  <si>
    <t>W5</t>
  </si>
  <si>
    <t>M5</t>
  </si>
  <si>
    <t>1/0</t>
  </si>
  <si>
    <t>CONDITIONS</t>
  </si>
  <si>
    <t>OPTIMUM WAY</t>
  </si>
  <si>
    <t xml:space="preserve">TOTAL </t>
  </si>
  <si>
    <t xml:space="preserve">Qtr </t>
  </si>
  <si>
    <t>Product A</t>
  </si>
  <si>
    <t>Product B</t>
  </si>
  <si>
    <t>Product</t>
  </si>
  <si>
    <t>Product D</t>
  </si>
  <si>
    <t>Product E</t>
  </si>
  <si>
    <t>Product F</t>
  </si>
  <si>
    <t>Product C</t>
  </si>
  <si>
    <t>Qtr 1</t>
  </si>
  <si>
    <t>Qtr2</t>
  </si>
  <si>
    <t>Qtr3</t>
  </si>
  <si>
    <t>Qtr 4</t>
  </si>
  <si>
    <t>East</t>
  </si>
  <si>
    <t>North</t>
  </si>
  <si>
    <t>South</t>
  </si>
  <si>
    <t>West</t>
  </si>
  <si>
    <t xml:space="preserve">Region </t>
  </si>
  <si>
    <t>Qtr4</t>
  </si>
  <si>
    <t xml:space="preserve">North </t>
  </si>
  <si>
    <t xml:space="preserve">South </t>
  </si>
  <si>
    <t>Wast</t>
  </si>
  <si>
    <t>NO</t>
  </si>
  <si>
    <t>Area A</t>
  </si>
  <si>
    <t>Area B</t>
  </si>
  <si>
    <t>%Sales</t>
  </si>
  <si>
    <t xml:space="preserve">% Cum sales </t>
  </si>
  <si>
    <t>% sales</t>
  </si>
  <si>
    <t>% cum sales</t>
  </si>
  <si>
    <t>couse</t>
  </si>
  <si>
    <t>Effect</t>
  </si>
  <si>
    <t>Sr NO</t>
  </si>
  <si>
    <t>Sr no</t>
  </si>
  <si>
    <t>pareto index</t>
  </si>
  <si>
    <t>RETAILER</t>
  </si>
  <si>
    <t>avrage</t>
  </si>
  <si>
    <t>standerd deviation</t>
  </si>
  <si>
    <t>N</t>
  </si>
  <si>
    <t>Z_score</t>
  </si>
  <si>
    <t>sum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</si>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</sst>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00"/>
    <numFmt numFmtId="170" formatCode="0.0000"/>
    <numFmt numFmtId="174" formatCode="0.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63A4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9" fontId="3" fillId="0" borderId="1" xfId="0" applyNumberFormat="1" applyFont="1" applyBorder="1"/>
    <xf numFmtId="170" fontId="3" fillId="0" borderId="1" xfId="0" applyNumberFormat="1" applyFont="1" applyBorder="1"/>
    <xf numFmtId="170" fontId="3" fillId="0" borderId="0" xfId="0" applyNumberFormat="1" applyFont="1"/>
    <xf numFmtId="174" fontId="3" fillId="0" borderId="1" xfId="0" applyNumberFormat="1" applyFont="1" applyBorder="1"/>
    <xf numFmtId="170" fontId="0" fillId="0" borderId="1" xfId="0" applyNumberForma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Sheet5!$D$15:$D$19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cat>
          <c:val>
            <c:numRef>
              <c:f>Sheet5!$E$15:$E$19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4-4FFC-8C72-A80C4A5053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530241</xdr:colOff>
          <xdr:row>4</xdr:row>
          <xdr:rowOff>135899</xdr:rowOff>
        </xdr:from>
        <xdr:to>
          <xdr:col>18</xdr:col>
          <xdr:colOff>125269</xdr:colOff>
          <xdr:row>19</xdr:row>
          <xdr:rowOff>4854</xdr:rowOff>
        </xdr:to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494D30E7-DEA2-B0D6-2EF3-2ADA5844CC89}"/>
                </a:ext>
              </a:extLst>
            </xdr:cNvPr>
            <xdr:cNvGrpSpPr/>
          </xdr:nvGrpSpPr>
          <xdr:grpSpPr>
            <a:xfrm>
              <a:off x="5665247" y="873631"/>
              <a:ext cx="3875818" cy="2800471"/>
              <a:chOff x="5946750" y="694051"/>
              <a:chExt cx="3875818" cy="2800471"/>
            </a:xfrm>
          </xdr:grpSpPr>
          <xdr:grpSp>
            <xdr:nvGrpSpPr>
              <xdr:cNvPr id="11" name="Group 10">
                <a:extLst>
                  <a:ext uri="{FF2B5EF4-FFF2-40B4-BE49-F238E27FC236}">
                    <a16:creationId xmlns:a16="http://schemas.microsoft.com/office/drawing/2014/main" id="{B0A07E0A-0B5E-8A76-77BF-071D1324612C}"/>
                  </a:ext>
                </a:extLst>
              </xdr:cNvPr>
              <xdr:cNvGrpSpPr/>
            </xdr:nvGrpSpPr>
            <xdr:grpSpPr>
              <a:xfrm>
                <a:off x="5946750" y="2193783"/>
                <a:ext cx="3875818" cy="1300739"/>
                <a:chOff x="5946750" y="2193783"/>
                <a:chExt cx="3875818" cy="1300739"/>
              </a:xfrm>
            </xdr:grpSpPr>
            <xdr:pic>
              <xdr:nvPicPr>
                <xdr:cNvPr id="6" name="Picture 5">
                  <a:extLst>
                    <a:ext uri="{FF2B5EF4-FFF2-40B4-BE49-F238E27FC236}">
                      <a16:creationId xmlns:a16="http://schemas.microsoft.com/office/drawing/2014/main" id="{5B6353D3-E3F6-E101-9E7F-21DF00B3FBDB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A$1:$E$7" spid="_x0000_s3117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5946750" y="2193784"/>
                  <a:ext cx="2272609" cy="1300738"/>
                </a:xfrm>
                <a:prstGeom prst="rect">
                  <a:avLst/>
                </a:prstGeom>
                <a:noFill/>
                <a:scene3d>
                  <a:camera prst="isometricLeftDown"/>
                  <a:lightRig rig="threePt" dir="t"/>
                </a:scene3d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  <xdr:pic>
              <xdr:nvPicPr>
                <xdr:cNvPr id="8" name="Picture 7">
                  <a:extLst>
                    <a:ext uri="{FF2B5EF4-FFF2-40B4-BE49-F238E27FC236}">
                      <a16:creationId xmlns:a16="http://schemas.microsoft.com/office/drawing/2014/main" id="{D4942165-AA42-F523-8182-BF7373D6D057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G$1:$K$7" spid="_x0000_s3118"/>
                    </a:ext>
                  </a:extLst>
                </xdr:cNvPicPr>
              </xdr:nvPicPr>
              <xdr:blipFill>
                <a:blip xmlns:r="http://schemas.openxmlformats.org/officeDocument/2006/relationships" r:embed="rId2"/>
                <a:srcRect/>
                <a:stretch>
                  <a:fillRect/>
                </a:stretch>
              </xdr:blipFill>
              <xdr:spPr bwMode="auto">
                <a:xfrm>
                  <a:off x="7552051" y="2193783"/>
                  <a:ext cx="2270517" cy="1298652"/>
                </a:xfrm>
                <a:prstGeom prst="rect">
                  <a:avLst/>
                </a:prstGeom>
                <a:noFill/>
                <a:scene3d>
                  <a:camera prst="isometricRightUp"/>
                  <a:lightRig rig="threePt" dir="t"/>
                </a:scene3d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xdr:grpSp>
          <xdr:pic>
            <xdr:nvPicPr>
              <xdr:cNvPr id="10" name="Picture 9">
                <a:extLst>
                  <a:ext uri="{FF2B5EF4-FFF2-40B4-BE49-F238E27FC236}">
                    <a16:creationId xmlns:a16="http://schemas.microsoft.com/office/drawing/2014/main" id="{7D227401-AE90-B861-E6BE-919B9F7A7672}"/>
                  </a:ext>
                </a:extLst>
              </xdr:cNvPr>
              <xdr:cNvPicPr preferRelativeResize="0">
                <a:picLocks noChangeArrowheads="1"/>
                <a:extLst>
                  <a:ext uri="{84589F7E-364E-4C9E-8A38-B11213B215E9}">
                    <a14:cameraTool cellRange="$A$11:$E$15" spid="_x0000_s3119"/>
                  </a:ext>
                </a:extLst>
              </xdr:cNvPicPr>
            </xdr:nvPicPr>
            <xdr:blipFill>
              <a:blip xmlns:r="http://schemas.openxmlformats.org/officeDocument/2006/relationships" r:embed="rId3"/>
              <a:srcRect/>
              <a:stretch>
                <a:fillRect/>
              </a:stretch>
            </xdr:blipFill>
            <xdr:spPr bwMode="auto">
              <a:xfrm>
                <a:off x="6741515" y="694051"/>
                <a:ext cx="2268000" cy="2304000"/>
              </a:xfrm>
              <a:prstGeom prst="rect">
                <a:avLst/>
              </a:prstGeom>
              <a:noFill/>
              <a:scene3d>
                <a:camera prst="isometricTopUp"/>
                <a:lightRig rig="threePt" dir="t"/>
              </a:scene3d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xdr:grp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265157</xdr:colOff>
      <xdr:row>5</xdr:row>
      <xdr:rowOff>36555</xdr:rowOff>
    </xdr:from>
    <xdr:to>
      <xdr:col>14</xdr:col>
      <xdr:colOff>280603</xdr:colOff>
      <xdr:row>19</xdr:row>
      <xdr:rowOff>184836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DB765-77B7-025E-BBC3-F10270085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F1EE-C860-4777-B2BC-B9EED59081BC}">
  <dimension ref="A2:S28"/>
  <sheetViews>
    <sheetView workbookViewId="0">
      <selection activeCell="R28" sqref="R28"/>
    </sheetView>
  </sheetViews>
  <sheetFormatPr defaultRowHeight="14.4" x14ac:dyDescent="0.3"/>
  <cols>
    <col min="1" max="16384" width="8.88671875" style="1"/>
  </cols>
  <sheetData>
    <row r="2" spans="1:16" x14ac:dyDescent="0.3">
      <c r="A2" s="1" t="s">
        <v>0</v>
      </c>
      <c r="B2" s="3"/>
      <c r="C2" s="3" t="s">
        <v>5</v>
      </c>
      <c r="D2" s="3" t="s">
        <v>6</v>
      </c>
      <c r="E2" s="3" t="s">
        <v>7</v>
      </c>
      <c r="F2" s="3" t="s">
        <v>8</v>
      </c>
    </row>
    <row r="3" spans="1:16" x14ac:dyDescent="0.3">
      <c r="B3" s="3" t="s">
        <v>1</v>
      </c>
      <c r="C3" s="3">
        <v>8</v>
      </c>
      <c r="D3" s="3">
        <v>14</v>
      </c>
      <c r="E3" s="3">
        <v>6</v>
      </c>
      <c r="F3" s="3">
        <v>12</v>
      </c>
    </row>
    <row r="4" spans="1:16" x14ac:dyDescent="0.3">
      <c r="B4" s="3" t="s">
        <v>2</v>
      </c>
      <c r="C4" s="3">
        <v>10</v>
      </c>
      <c r="D4" s="3">
        <v>7</v>
      </c>
      <c r="E4" s="3">
        <v>13</v>
      </c>
      <c r="F4" s="3">
        <v>9</v>
      </c>
    </row>
    <row r="5" spans="1:16" x14ac:dyDescent="0.3">
      <c r="B5" s="3" t="s">
        <v>3</v>
      </c>
      <c r="C5" s="3">
        <v>15</v>
      </c>
      <c r="D5" s="3">
        <v>11</v>
      </c>
      <c r="E5" s="3">
        <v>8</v>
      </c>
      <c r="F5" s="3">
        <v>6</v>
      </c>
    </row>
    <row r="6" spans="1:16" x14ac:dyDescent="0.3">
      <c r="B6" s="3" t="s">
        <v>4</v>
      </c>
      <c r="C6" s="3">
        <v>9</v>
      </c>
      <c r="D6" s="3">
        <v>12</v>
      </c>
      <c r="E6" s="3">
        <v>10</v>
      </c>
      <c r="F6" s="4">
        <v>7</v>
      </c>
      <c r="G6" s="2"/>
      <c r="H6" s="2" t="s">
        <v>9</v>
      </c>
      <c r="I6" s="2"/>
    </row>
    <row r="7" spans="1:16" x14ac:dyDescent="0.3">
      <c r="G7" s="2"/>
      <c r="H7" s="2"/>
      <c r="I7" s="2"/>
    </row>
    <row r="8" spans="1:16" x14ac:dyDescent="0.3">
      <c r="G8" s="2"/>
      <c r="H8" s="2" t="s">
        <v>1</v>
      </c>
      <c r="I8" s="2" t="s">
        <v>5</v>
      </c>
    </row>
    <row r="9" spans="1:16" x14ac:dyDescent="0.3">
      <c r="G9" s="2"/>
      <c r="H9" s="2" t="s">
        <v>2</v>
      </c>
      <c r="I9" s="2" t="s">
        <v>6</v>
      </c>
    </row>
    <row r="10" spans="1:16" x14ac:dyDescent="0.3">
      <c r="G10" s="2"/>
      <c r="H10" s="2" t="s">
        <v>3</v>
      </c>
      <c r="I10" s="2" t="s">
        <v>7</v>
      </c>
      <c r="L10" s="1" t="s">
        <v>13</v>
      </c>
      <c r="M10" s="2" t="s">
        <v>5</v>
      </c>
      <c r="N10" s="2" t="s">
        <v>6</v>
      </c>
      <c r="O10" s="2" t="s">
        <v>7</v>
      </c>
      <c r="P10" s="2" t="s">
        <v>8</v>
      </c>
    </row>
    <row r="11" spans="1:16" x14ac:dyDescent="0.3">
      <c r="G11" s="2"/>
      <c r="H11" s="2" t="s">
        <v>4</v>
      </c>
      <c r="I11" s="2" t="s">
        <v>8</v>
      </c>
      <c r="L11" s="2" t="s">
        <v>1</v>
      </c>
      <c r="M11" s="2">
        <v>1</v>
      </c>
      <c r="N11" s="2"/>
      <c r="O11" s="2"/>
      <c r="P11" s="2"/>
    </row>
    <row r="12" spans="1:16" x14ac:dyDescent="0.3">
      <c r="L12" s="2" t="s">
        <v>2</v>
      </c>
      <c r="M12" s="2"/>
      <c r="N12" s="2">
        <v>1</v>
      </c>
      <c r="O12" s="2"/>
      <c r="P12" s="2"/>
    </row>
    <row r="13" spans="1:16" x14ac:dyDescent="0.3">
      <c r="H13" s="1" t="s">
        <v>10</v>
      </c>
      <c r="I13" s="1">
        <f>SUM(F6,E5,D4,C3)</f>
        <v>30</v>
      </c>
      <c r="L13" s="2" t="s">
        <v>3</v>
      </c>
      <c r="M13" s="2"/>
      <c r="N13" s="2"/>
      <c r="O13" s="2">
        <v>1</v>
      </c>
      <c r="P13" s="2"/>
    </row>
    <row r="14" spans="1:16" x14ac:dyDescent="0.3">
      <c r="H14" s="1" t="s">
        <v>11</v>
      </c>
      <c r="I14" s="1">
        <f>SUM(E3,D4,F5,C6)</f>
        <v>28</v>
      </c>
      <c r="L14" s="2" t="s">
        <v>4</v>
      </c>
      <c r="M14" s="2"/>
      <c r="N14" s="2"/>
      <c r="O14" s="2"/>
      <c r="P14" s="2">
        <v>1</v>
      </c>
    </row>
    <row r="15" spans="1:16" x14ac:dyDescent="0.3">
      <c r="H15" s="1" t="s">
        <v>12</v>
      </c>
    </row>
    <row r="19" spans="12:19" x14ac:dyDescent="0.3">
      <c r="L19" s="2" t="s">
        <v>14</v>
      </c>
      <c r="M19" s="2" t="s">
        <v>5</v>
      </c>
      <c r="N19" s="2" t="s">
        <v>6</v>
      </c>
      <c r="O19" s="2" t="s">
        <v>7</v>
      </c>
      <c r="P19" s="2" t="s">
        <v>8</v>
      </c>
    </row>
    <row r="20" spans="12:19" x14ac:dyDescent="0.3">
      <c r="L20" s="2" t="s">
        <v>1</v>
      </c>
      <c r="M20" s="2">
        <v>0</v>
      </c>
      <c r="N20" s="2">
        <v>0</v>
      </c>
      <c r="O20" s="2">
        <v>1</v>
      </c>
      <c r="P20" s="2">
        <v>0</v>
      </c>
      <c r="Q20" s="1">
        <f>SUM(M20:P20)</f>
        <v>1</v>
      </c>
      <c r="R20" s="1" t="s">
        <v>15</v>
      </c>
      <c r="S20" s="1">
        <v>1</v>
      </c>
    </row>
    <row r="21" spans="12:19" x14ac:dyDescent="0.3">
      <c r="L21" s="2" t="s">
        <v>2</v>
      </c>
      <c r="M21" s="2">
        <v>0</v>
      </c>
      <c r="N21" s="2">
        <v>1</v>
      </c>
      <c r="O21" s="2">
        <v>0</v>
      </c>
      <c r="P21" s="2">
        <v>0</v>
      </c>
      <c r="Q21" s="1">
        <f t="shared" ref="Q21:Q23" si="0">SUM(M21:P21)</f>
        <v>1</v>
      </c>
      <c r="R21" s="1" t="s">
        <v>15</v>
      </c>
      <c r="S21" s="1">
        <v>1</v>
      </c>
    </row>
    <row r="22" spans="12:19" x14ac:dyDescent="0.3">
      <c r="L22" s="2" t="s">
        <v>3</v>
      </c>
      <c r="M22" s="2">
        <v>0</v>
      </c>
      <c r="N22" s="2">
        <v>0</v>
      </c>
      <c r="O22" s="2">
        <v>0</v>
      </c>
      <c r="P22" s="2">
        <v>1</v>
      </c>
      <c r="Q22" s="1">
        <f t="shared" si="0"/>
        <v>1</v>
      </c>
      <c r="R22" s="1" t="s">
        <v>15</v>
      </c>
      <c r="S22" s="1">
        <v>1</v>
      </c>
    </row>
    <row r="23" spans="12:19" x14ac:dyDescent="0.3">
      <c r="L23" s="2" t="s">
        <v>4</v>
      </c>
      <c r="M23" s="2">
        <v>1</v>
      </c>
      <c r="N23" s="2">
        <v>0</v>
      </c>
      <c r="O23" s="2">
        <v>0</v>
      </c>
      <c r="P23" s="2">
        <v>0</v>
      </c>
      <c r="Q23" s="1">
        <f t="shared" si="0"/>
        <v>1</v>
      </c>
      <c r="R23" s="1" t="s">
        <v>15</v>
      </c>
      <c r="S23" s="1">
        <v>1</v>
      </c>
    </row>
    <row r="24" spans="12:19" x14ac:dyDescent="0.3">
      <c r="M24" s="1">
        <f>SUM(M20:M23)</f>
        <v>1</v>
      </c>
      <c r="N24" s="1">
        <f t="shared" ref="N24:P24" si="1">SUM(N20:N23)</f>
        <v>1</v>
      </c>
      <c r="O24" s="1">
        <f t="shared" si="1"/>
        <v>1</v>
      </c>
      <c r="P24" s="1">
        <f t="shared" si="1"/>
        <v>1</v>
      </c>
    </row>
    <row r="25" spans="12:19" x14ac:dyDescent="0.3">
      <c r="M25" s="1" t="s">
        <v>15</v>
      </c>
      <c r="N25" s="1" t="s">
        <v>15</v>
      </c>
      <c r="O25" s="1" t="s">
        <v>15</v>
      </c>
      <c r="P25" s="1" t="s">
        <v>15</v>
      </c>
    </row>
    <row r="26" spans="12:19" x14ac:dyDescent="0.3">
      <c r="M26" s="1">
        <v>1</v>
      </c>
      <c r="N26" s="1">
        <v>1</v>
      </c>
      <c r="O26" s="1">
        <v>1</v>
      </c>
      <c r="P26" s="1">
        <v>1</v>
      </c>
    </row>
    <row r="28" spans="12:19" x14ac:dyDescent="0.3">
      <c r="Q28" s="1" t="s">
        <v>16</v>
      </c>
      <c r="R28" s="1">
        <f>SUMPRODUCT(M20:P23,C3:F6)</f>
        <v>28</v>
      </c>
    </row>
  </sheetData>
  <phoneticPr fontId="1" type="noConversion"/>
  <conditionalFormatting sqref="E13">
    <cfRule type="cellIs" dxfId="5" priority="2" operator="greaterThan">
      <formula>0</formula>
    </cfRule>
  </conditionalFormatting>
  <conditionalFormatting sqref="L19:P23">
    <cfRule type="cellIs" dxfId="4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FB69-5A21-4CD8-AB41-AFED9DF7DF54}">
  <dimension ref="C4:P35"/>
  <sheetViews>
    <sheetView workbookViewId="0">
      <selection activeCell="H33" sqref="H33"/>
    </sheetView>
  </sheetViews>
  <sheetFormatPr defaultRowHeight="14.4" x14ac:dyDescent="0.3"/>
  <sheetData>
    <row r="4" spans="3:16" x14ac:dyDescent="0.3">
      <c r="C4" s="5"/>
      <c r="D4" s="5" t="s">
        <v>5</v>
      </c>
      <c r="E4" s="5" t="s">
        <v>6</v>
      </c>
      <c r="F4" s="5" t="s">
        <v>7</v>
      </c>
      <c r="G4" s="5" t="s">
        <v>8</v>
      </c>
      <c r="H4" s="5" t="s">
        <v>18</v>
      </c>
    </row>
    <row r="5" spans="3:16" x14ac:dyDescent="0.3">
      <c r="C5" s="5" t="s">
        <v>1</v>
      </c>
      <c r="D5" s="5">
        <v>9</v>
      </c>
      <c r="E5" s="5">
        <v>14</v>
      </c>
      <c r="F5" s="5">
        <v>7</v>
      </c>
      <c r="G5" s="5">
        <v>11</v>
      </c>
      <c r="H5" s="5">
        <v>15</v>
      </c>
    </row>
    <row r="6" spans="3:16" x14ac:dyDescent="0.3">
      <c r="C6" s="5" t="s">
        <v>2</v>
      </c>
      <c r="D6" s="5">
        <v>12</v>
      </c>
      <c r="E6" s="5">
        <v>8</v>
      </c>
      <c r="F6" s="5">
        <v>13</v>
      </c>
      <c r="G6" s="5">
        <v>6</v>
      </c>
      <c r="H6" s="5">
        <v>10</v>
      </c>
    </row>
    <row r="7" spans="3:16" x14ac:dyDescent="0.3">
      <c r="C7" s="5" t="s">
        <v>3</v>
      </c>
      <c r="D7" s="5">
        <v>14</v>
      </c>
      <c r="E7" s="5">
        <v>11</v>
      </c>
      <c r="F7" s="5">
        <v>9</v>
      </c>
      <c r="G7" s="5">
        <v>7</v>
      </c>
      <c r="H7" s="5">
        <v>5</v>
      </c>
    </row>
    <row r="8" spans="3:16" x14ac:dyDescent="0.3">
      <c r="C8" s="5" t="s">
        <v>4</v>
      </c>
      <c r="D8" s="5">
        <v>8</v>
      </c>
      <c r="E8" s="5">
        <v>13</v>
      </c>
      <c r="F8" s="5">
        <v>12</v>
      </c>
      <c r="G8" s="5">
        <v>10</v>
      </c>
      <c r="H8" s="5">
        <v>7</v>
      </c>
    </row>
    <row r="9" spans="3:16" x14ac:dyDescent="0.3">
      <c r="C9" s="5" t="s">
        <v>17</v>
      </c>
      <c r="D9" s="5">
        <v>10</v>
      </c>
      <c r="E9" s="5">
        <v>6</v>
      </c>
      <c r="F9" s="5">
        <v>11</v>
      </c>
      <c r="G9" s="5">
        <v>9</v>
      </c>
      <c r="H9" s="5">
        <v>8</v>
      </c>
    </row>
    <row r="10" spans="3:16" x14ac:dyDescent="0.3">
      <c r="K10" t="s">
        <v>20</v>
      </c>
      <c r="L10" s="5" t="s">
        <v>5</v>
      </c>
      <c r="M10" s="5" t="s">
        <v>6</v>
      </c>
      <c r="N10" s="5" t="s">
        <v>7</v>
      </c>
      <c r="O10" s="5" t="s">
        <v>8</v>
      </c>
      <c r="P10" s="5" t="s">
        <v>18</v>
      </c>
    </row>
    <row r="11" spans="3:16" x14ac:dyDescent="0.3">
      <c r="K11" s="5" t="s">
        <v>1</v>
      </c>
      <c r="L11" s="5" t="s">
        <v>19</v>
      </c>
      <c r="M11" s="5"/>
      <c r="N11" s="5">
        <v>0</v>
      </c>
      <c r="O11" s="5"/>
      <c r="P11" s="5"/>
    </row>
    <row r="12" spans="3:16" x14ac:dyDescent="0.3">
      <c r="K12" s="5" t="s">
        <v>2</v>
      </c>
      <c r="L12" s="5"/>
      <c r="M12" s="5" t="s">
        <v>19</v>
      </c>
      <c r="N12" s="5"/>
      <c r="O12" s="5"/>
      <c r="P12" s="5"/>
    </row>
    <row r="13" spans="3:16" x14ac:dyDescent="0.3">
      <c r="K13" s="5" t="s">
        <v>3</v>
      </c>
      <c r="L13" s="5"/>
      <c r="M13" s="5"/>
      <c r="N13" s="5"/>
      <c r="O13" s="5"/>
      <c r="P13" s="5">
        <v>1</v>
      </c>
    </row>
    <row r="14" spans="3:16" x14ac:dyDescent="0.3">
      <c r="K14" s="5" t="s">
        <v>4</v>
      </c>
      <c r="L14" s="5" t="s">
        <v>19</v>
      </c>
      <c r="M14" s="5"/>
      <c r="N14" s="5"/>
      <c r="O14" s="5">
        <v>0</v>
      </c>
      <c r="P14" s="5"/>
    </row>
    <row r="15" spans="3:16" x14ac:dyDescent="0.3">
      <c r="K15" s="5" t="s">
        <v>17</v>
      </c>
      <c r="L15" s="5"/>
      <c r="M15" s="5" t="s">
        <v>19</v>
      </c>
      <c r="N15" s="5"/>
      <c r="O15" s="5"/>
      <c r="P15" s="5"/>
    </row>
    <row r="19" spans="6:15" x14ac:dyDescent="0.3">
      <c r="F19" t="s">
        <v>21</v>
      </c>
      <c r="G19" s="5" t="s">
        <v>5</v>
      </c>
      <c r="H19" s="5" t="s">
        <v>6</v>
      </c>
      <c r="I19" s="5" t="s">
        <v>7</v>
      </c>
      <c r="J19" s="5" t="s">
        <v>8</v>
      </c>
      <c r="K19" s="5" t="s">
        <v>18</v>
      </c>
    </row>
    <row r="20" spans="6:15" x14ac:dyDescent="0.3">
      <c r="F20" s="5" t="s">
        <v>1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>
        <f>SUM(G20:K20)</f>
        <v>1</v>
      </c>
      <c r="N20">
        <v>1</v>
      </c>
    </row>
    <row r="21" spans="6:15" x14ac:dyDescent="0.3">
      <c r="F21" s="5" t="s">
        <v>2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>
        <f t="shared" ref="L21:L24" si="0">SUM(G21:K21)</f>
        <v>1</v>
      </c>
      <c r="N21">
        <v>1</v>
      </c>
    </row>
    <row r="22" spans="6:15" x14ac:dyDescent="0.3">
      <c r="F22" s="5" t="s">
        <v>3</v>
      </c>
      <c r="G22" s="5">
        <v>0</v>
      </c>
      <c r="H22" s="5">
        <v>0</v>
      </c>
      <c r="I22" s="5">
        <v>0</v>
      </c>
      <c r="J22" s="5">
        <v>0</v>
      </c>
      <c r="K22" s="5">
        <v>1</v>
      </c>
      <c r="L22">
        <f t="shared" si="0"/>
        <v>1</v>
      </c>
      <c r="N22">
        <v>1</v>
      </c>
    </row>
    <row r="23" spans="6:15" x14ac:dyDescent="0.3">
      <c r="F23" s="5" t="s">
        <v>4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>
        <f t="shared" si="0"/>
        <v>1</v>
      </c>
      <c r="N23">
        <v>1</v>
      </c>
    </row>
    <row r="24" spans="6:15" x14ac:dyDescent="0.3">
      <c r="F24" s="5" t="s">
        <v>17</v>
      </c>
      <c r="G24" s="5">
        <v>0</v>
      </c>
      <c r="H24" s="5">
        <v>1</v>
      </c>
      <c r="I24" s="5">
        <v>0</v>
      </c>
      <c r="J24" s="5">
        <v>0</v>
      </c>
      <c r="K24" s="5">
        <v>0</v>
      </c>
      <c r="L24">
        <f t="shared" si="0"/>
        <v>1</v>
      </c>
      <c r="N24">
        <v>1</v>
      </c>
    </row>
    <row r="26" spans="6:15" x14ac:dyDescent="0.3">
      <c r="G26">
        <f>SUM(G20:G24)</f>
        <v>1</v>
      </c>
      <c r="H26">
        <f t="shared" ref="H26:K26" si="1">SUM(H20:H24)</f>
        <v>1</v>
      </c>
      <c r="I26">
        <f t="shared" si="1"/>
        <v>1</v>
      </c>
      <c r="J26">
        <f t="shared" si="1"/>
        <v>1</v>
      </c>
      <c r="K26">
        <f t="shared" si="1"/>
        <v>1</v>
      </c>
    </row>
    <row r="28" spans="6:15" x14ac:dyDescent="0.3">
      <c r="G28">
        <v>1</v>
      </c>
      <c r="H28">
        <v>1</v>
      </c>
      <c r="I28">
        <v>1</v>
      </c>
      <c r="J28">
        <v>1</v>
      </c>
      <c r="K28">
        <v>1</v>
      </c>
    </row>
    <row r="30" spans="6:15" x14ac:dyDescent="0.3">
      <c r="N30" t="s">
        <v>22</v>
      </c>
      <c r="O30">
        <f>SUMPRODUCT(G20:K24,D5:H9)</f>
        <v>38</v>
      </c>
    </row>
    <row r="31" spans="6:15" x14ac:dyDescent="0.3">
      <c r="H31">
        <f>G20+G23</f>
        <v>1</v>
      </c>
      <c r="J31">
        <v>1</v>
      </c>
    </row>
    <row r="32" spans="6:15" x14ac:dyDescent="0.3">
      <c r="H32">
        <f>H24+H21</f>
        <v>1</v>
      </c>
      <c r="J32">
        <v>1</v>
      </c>
    </row>
    <row r="33" spans="8:10" x14ac:dyDescent="0.3">
      <c r="H33">
        <f>SUM(I21:I24)</f>
        <v>1</v>
      </c>
      <c r="J33">
        <v>1</v>
      </c>
    </row>
    <row r="34" spans="8:10" x14ac:dyDescent="0.3">
      <c r="H34">
        <f>SUM(J24,J20:J22)</f>
        <v>1</v>
      </c>
      <c r="J34">
        <v>1</v>
      </c>
    </row>
    <row r="35" spans="8:10" x14ac:dyDescent="0.3">
      <c r="H35">
        <f>K22</f>
        <v>1</v>
      </c>
      <c r="J35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2D83-552A-4B9D-89B3-D8D6943BF893}">
  <dimension ref="A1:K15"/>
  <sheetViews>
    <sheetView showGridLines="0" zoomScale="157" workbookViewId="0">
      <selection activeCell="G22" sqref="G22"/>
    </sheetView>
  </sheetViews>
  <sheetFormatPr defaultRowHeight="14.4" x14ac:dyDescent="0.3"/>
  <cols>
    <col min="1" max="1" width="9.77734375" style="6" customWidth="1"/>
    <col min="2" max="5" width="5.77734375" style="6" customWidth="1"/>
    <col min="6" max="6" width="8.88671875" style="6"/>
    <col min="7" max="7" width="9.77734375" style="6" customWidth="1"/>
    <col min="8" max="11" width="5.77734375" style="6" customWidth="1"/>
    <col min="12" max="16384" width="8.88671875" style="6"/>
  </cols>
  <sheetData>
    <row r="1" spans="1:11" x14ac:dyDescent="0.3">
      <c r="A1" s="7" t="s">
        <v>23</v>
      </c>
      <c r="B1" s="8" t="s">
        <v>31</v>
      </c>
      <c r="C1" s="8" t="s">
        <v>32</v>
      </c>
      <c r="D1" s="8" t="s">
        <v>33</v>
      </c>
      <c r="E1" s="8" t="s">
        <v>34</v>
      </c>
      <c r="G1" s="7" t="s">
        <v>26</v>
      </c>
      <c r="H1" s="7" t="s">
        <v>35</v>
      </c>
      <c r="I1" s="7" t="s">
        <v>36</v>
      </c>
      <c r="J1" s="7" t="s">
        <v>37</v>
      </c>
      <c r="K1" s="7" t="s">
        <v>38</v>
      </c>
    </row>
    <row r="2" spans="1:11" x14ac:dyDescent="0.3">
      <c r="A2" s="7" t="s">
        <v>24</v>
      </c>
      <c r="B2" s="9">
        <v>26</v>
      </c>
      <c r="C2" s="9">
        <v>16</v>
      </c>
      <c r="D2" s="9">
        <v>27</v>
      </c>
      <c r="E2" s="9">
        <v>23</v>
      </c>
      <c r="G2" s="7" t="s">
        <v>24</v>
      </c>
      <c r="H2" s="9">
        <v>17</v>
      </c>
      <c r="I2" s="9">
        <v>35</v>
      </c>
      <c r="J2" s="9">
        <v>11</v>
      </c>
      <c r="K2" s="9">
        <v>29</v>
      </c>
    </row>
    <row r="3" spans="1:11" x14ac:dyDescent="0.3">
      <c r="A3" s="7" t="s">
        <v>25</v>
      </c>
      <c r="B3" s="9">
        <v>39</v>
      </c>
      <c r="C3" s="9">
        <v>47</v>
      </c>
      <c r="D3" s="9">
        <v>31</v>
      </c>
      <c r="E3" s="9">
        <v>30</v>
      </c>
      <c r="G3" s="7" t="s">
        <v>25</v>
      </c>
      <c r="H3" s="9">
        <v>27</v>
      </c>
      <c r="I3" s="9">
        <v>55</v>
      </c>
      <c r="J3" s="9">
        <v>28</v>
      </c>
      <c r="K3" s="9">
        <v>37</v>
      </c>
    </row>
    <row r="4" spans="1:11" x14ac:dyDescent="0.3">
      <c r="A4" s="7" t="s">
        <v>30</v>
      </c>
      <c r="B4" s="9">
        <v>21</v>
      </c>
      <c r="C4" s="9">
        <v>41</v>
      </c>
      <c r="D4" s="9">
        <v>19</v>
      </c>
      <c r="E4" s="9">
        <v>22</v>
      </c>
      <c r="G4" s="7" t="s">
        <v>30</v>
      </c>
      <c r="H4" s="9">
        <v>34</v>
      </c>
      <c r="I4" s="9">
        <v>31</v>
      </c>
      <c r="J4" s="9">
        <v>21</v>
      </c>
      <c r="K4" s="9">
        <v>17</v>
      </c>
    </row>
    <row r="5" spans="1:11" x14ac:dyDescent="0.3">
      <c r="A5" s="7" t="s">
        <v>27</v>
      </c>
      <c r="B5" s="9">
        <v>17</v>
      </c>
      <c r="C5" s="9">
        <v>27</v>
      </c>
      <c r="D5" s="9">
        <v>16</v>
      </c>
      <c r="E5" s="9">
        <v>37</v>
      </c>
      <c r="G5" s="7" t="s">
        <v>27</v>
      </c>
      <c r="H5" s="9">
        <v>23</v>
      </c>
      <c r="I5" s="9">
        <v>25</v>
      </c>
      <c r="J5" s="9">
        <v>27</v>
      </c>
      <c r="K5" s="9">
        <v>22</v>
      </c>
    </row>
    <row r="6" spans="1:11" x14ac:dyDescent="0.3">
      <c r="A6" s="7" t="s">
        <v>28</v>
      </c>
      <c r="B6" s="9">
        <v>44</v>
      </c>
      <c r="C6" s="9">
        <v>33</v>
      </c>
      <c r="D6" s="9">
        <v>24</v>
      </c>
      <c r="E6" s="9">
        <v>18</v>
      </c>
      <c r="G6" s="7" t="s">
        <v>28</v>
      </c>
      <c r="H6" s="9">
        <v>31</v>
      </c>
      <c r="I6" s="9">
        <v>29</v>
      </c>
      <c r="J6" s="9">
        <v>31</v>
      </c>
      <c r="K6" s="9">
        <v>28</v>
      </c>
    </row>
    <row r="7" spans="1:11" x14ac:dyDescent="0.3">
      <c r="A7" s="7" t="s">
        <v>29</v>
      </c>
      <c r="B7" s="9">
        <v>41</v>
      </c>
      <c r="C7" s="9">
        <v>13</v>
      </c>
      <c r="D7" s="9">
        <v>37</v>
      </c>
      <c r="E7" s="9">
        <v>37</v>
      </c>
      <c r="G7" s="7" t="s">
        <v>29</v>
      </c>
      <c r="H7" s="9">
        <v>20</v>
      </c>
      <c r="I7" s="9">
        <v>15</v>
      </c>
      <c r="J7" s="9">
        <v>41</v>
      </c>
      <c r="K7" s="9">
        <v>52</v>
      </c>
    </row>
    <row r="11" spans="1:11" ht="28.05" customHeight="1" x14ac:dyDescent="0.3">
      <c r="A11" s="7" t="s">
        <v>39</v>
      </c>
      <c r="B11" s="7" t="s">
        <v>35</v>
      </c>
      <c r="C11" s="7" t="s">
        <v>41</v>
      </c>
      <c r="D11" s="7" t="s">
        <v>42</v>
      </c>
      <c r="E11" s="7" t="s">
        <v>43</v>
      </c>
    </row>
    <row r="12" spans="1:11" x14ac:dyDescent="0.3">
      <c r="A12" s="10" t="s">
        <v>31</v>
      </c>
      <c r="B12" s="11">
        <v>33</v>
      </c>
      <c r="C12" s="11">
        <v>55</v>
      </c>
      <c r="D12" s="11">
        <v>65</v>
      </c>
      <c r="E12" s="11">
        <v>35</v>
      </c>
    </row>
    <row r="13" spans="1:11" x14ac:dyDescent="0.3">
      <c r="A13" s="10" t="s">
        <v>32</v>
      </c>
      <c r="B13" s="11">
        <v>33</v>
      </c>
      <c r="C13" s="11">
        <v>42</v>
      </c>
      <c r="D13" s="11">
        <v>49</v>
      </c>
      <c r="E13" s="11">
        <v>53</v>
      </c>
    </row>
    <row r="14" spans="1:11" x14ac:dyDescent="0.3">
      <c r="A14" s="10" t="s">
        <v>33</v>
      </c>
      <c r="B14" s="11">
        <v>53</v>
      </c>
      <c r="C14" s="11">
        <v>41</v>
      </c>
      <c r="D14" s="11">
        <v>25</v>
      </c>
      <c r="E14" s="11">
        <v>35</v>
      </c>
    </row>
    <row r="15" spans="1:11" x14ac:dyDescent="0.3">
      <c r="A15" s="10" t="s">
        <v>40</v>
      </c>
      <c r="B15" s="11">
        <v>33</v>
      </c>
      <c r="C15" s="11">
        <v>52</v>
      </c>
      <c r="D15" s="11">
        <v>20</v>
      </c>
      <c r="E15" s="11">
        <v>52</v>
      </c>
    </row>
  </sheetData>
  <conditionalFormatting sqref="B2:E7">
    <cfRule type="top10" dxfId="3" priority="4" rank="3"/>
  </conditionalFormatting>
  <conditionalFormatting sqref="B12:E15">
    <cfRule type="top10" dxfId="2" priority="1" rank="3"/>
    <cfRule type="top10" dxfId="1" priority="3" rank="3"/>
  </conditionalFormatting>
  <conditionalFormatting sqref="H2:K7">
    <cfRule type="top10" dxfId="0" priority="2" rank="3"/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8810-CE5A-4982-BF3D-8A78C49FE96D}">
  <dimension ref="A1:V19"/>
  <sheetViews>
    <sheetView workbookViewId="0">
      <selection activeCell="I2" sqref="I2:J14"/>
    </sheetView>
  </sheetViews>
  <sheetFormatPr defaultRowHeight="13.8" x14ac:dyDescent="0.25"/>
  <cols>
    <col min="1" max="1" width="3.77734375" style="13" bestFit="1" customWidth="1"/>
    <col min="2" max="3" width="6.77734375" style="13" bestFit="1" customWidth="1"/>
    <col min="4" max="6" width="8.88671875" style="13"/>
    <col min="7" max="7" width="6.21875" style="13" bestFit="1" customWidth="1"/>
    <col min="8" max="8" width="13.88671875" style="13" bestFit="1" customWidth="1"/>
    <col min="9" max="9" width="6.77734375" style="13" bestFit="1" customWidth="1"/>
    <col min="10" max="10" width="17.33203125" style="13" bestFit="1" customWidth="1"/>
    <col min="11" max="11" width="13.33203125" style="13" bestFit="1" customWidth="1"/>
    <col min="12" max="13" width="16.109375" style="13" bestFit="1" customWidth="1"/>
    <col min="14" max="14" width="3" style="13" bestFit="1" customWidth="1"/>
    <col min="15" max="15" width="5.6640625" style="13" bestFit="1" customWidth="1"/>
    <col min="16" max="16" width="13.33203125" style="13" bestFit="1" customWidth="1"/>
    <col min="17" max="17" width="6.77734375" style="13" bestFit="1" customWidth="1"/>
    <col min="18" max="18" width="13.33203125" style="13" bestFit="1" customWidth="1"/>
    <col min="19" max="19" width="4" style="13" bestFit="1" customWidth="1"/>
    <col min="20" max="22" width="13.33203125" style="13" bestFit="1" customWidth="1"/>
    <col min="23" max="24" width="5" style="13" bestFit="1" customWidth="1"/>
    <col min="25" max="25" width="10.5546875" style="13" bestFit="1" customWidth="1"/>
    <col min="26" max="26" width="7.44140625" style="13" bestFit="1" customWidth="1"/>
    <col min="27" max="27" width="4.6640625" style="13" bestFit="1" customWidth="1"/>
    <col min="28" max="28" width="7.44140625" style="13" bestFit="1" customWidth="1"/>
    <col min="29" max="29" width="5.6640625" style="13" bestFit="1" customWidth="1"/>
    <col min="30" max="30" width="8.44140625" style="13" bestFit="1" customWidth="1"/>
    <col min="31" max="31" width="6.6640625" style="13" bestFit="1" customWidth="1"/>
    <col min="32" max="32" width="9.44140625" style="13" bestFit="1" customWidth="1"/>
    <col min="33" max="33" width="6.6640625" style="13" bestFit="1" customWidth="1"/>
    <col min="34" max="34" width="9.44140625" style="13" bestFit="1" customWidth="1"/>
    <col min="35" max="35" width="8.6640625" style="13" bestFit="1" customWidth="1"/>
    <col min="36" max="37" width="4" style="13" bestFit="1" customWidth="1"/>
    <col min="38" max="38" width="11.44140625" style="13" bestFit="1" customWidth="1"/>
    <col min="39" max="39" width="10.5546875" style="13" bestFit="1" customWidth="1"/>
    <col min="40" max="41" width="14.6640625" style="13" bestFit="1" customWidth="1"/>
    <col min="42" max="43" width="12.21875" style="13" bestFit="1" customWidth="1"/>
    <col min="44" max="45" width="14.6640625" style="13" bestFit="1" customWidth="1"/>
    <col min="46" max="47" width="12.21875" style="13" bestFit="1" customWidth="1"/>
    <col min="48" max="49" width="15.6640625" style="13" bestFit="1" customWidth="1"/>
    <col min="50" max="51" width="12.21875" style="13" bestFit="1" customWidth="1"/>
    <col min="52" max="53" width="16.6640625" style="13" bestFit="1" customWidth="1"/>
    <col min="54" max="55" width="12.21875" style="13" bestFit="1" customWidth="1"/>
    <col min="56" max="57" width="16.6640625" style="13" bestFit="1" customWidth="1"/>
    <col min="58" max="63" width="12.21875" style="13" bestFit="1" customWidth="1"/>
    <col min="64" max="65" width="18.77734375" style="13" bestFit="1" customWidth="1"/>
    <col min="66" max="67" width="16.77734375" style="13" bestFit="1" customWidth="1"/>
    <col min="68" max="16384" width="8.88671875" style="13"/>
  </cols>
  <sheetData>
    <row r="1" spans="1:22" x14ac:dyDescent="0.25">
      <c r="A1" s="12" t="s">
        <v>44</v>
      </c>
      <c r="B1" s="12" t="s">
        <v>45</v>
      </c>
      <c r="C1" s="12" t="s">
        <v>46</v>
      </c>
      <c r="G1" s="12" t="s">
        <v>53</v>
      </c>
      <c r="H1" s="12" t="s">
        <v>47</v>
      </c>
      <c r="I1" s="12" t="s">
        <v>45</v>
      </c>
      <c r="J1" s="12" t="s">
        <v>48</v>
      </c>
    </row>
    <row r="2" spans="1:22" x14ac:dyDescent="0.25">
      <c r="A2" s="12">
        <v>1</v>
      </c>
      <c r="B2" s="12">
        <v>1578</v>
      </c>
      <c r="C2" s="12">
        <v>3598</v>
      </c>
      <c r="G2" s="12">
        <v>1</v>
      </c>
      <c r="H2" s="15">
        <f>I2/$I$15</f>
        <v>0.43736141906873616</v>
      </c>
      <c r="I2" s="12">
        <v>1578</v>
      </c>
      <c r="J2" s="15">
        <f>+H2</f>
        <v>0.43736141906873616</v>
      </c>
      <c r="O2" s="13" t="s">
        <v>54</v>
      </c>
      <c r="P2" s="12" t="s">
        <v>49</v>
      </c>
      <c r="Q2" s="12" t="s">
        <v>46</v>
      </c>
      <c r="R2" s="12" t="s">
        <v>50</v>
      </c>
    </row>
    <row r="3" spans="1:22" x14ac:dyDescent="0.25">
      <c r="A3" s="12">
        <v>2</v>
      </c>
      <c r="B3" s="12">
        <v>150</v>
      </c>
      <c r="C3" s="12">
        <v>436</v>
      </c>
      <c r="G3" s="12">
        <v>2</v>
      </c>
      <c r="H3" s="15">
        <f>I3/$I$15</f>
        <v>0.34922394678492241</v>
      </c>
      <c r="I3" s="12">
        <v>1260</v>
      </c>
      <c r="J3" s="15">
        <f>+J2+H3</f>
        <v>0.78658536585365857</v>
      </c>
      <c r="O3" s="13">
        <v>1</v>
      </c>
      <c r="P3" s="15">
        <f>Q3/$Q$19</f>
        <v>0.48536355051935787</v>
      </c>
      <c r="Q3" s="12">
        <v>3598</v>
      </c>
      <c r="R3" s="15">
        <f>+P3</f>
        <v>0.48536355051935787</v>
      </c>
    </row>
    <row r="4" spans="1:22" x14ac:dyDescent="0.25">
      <c r="A4" s="12">
        <v>3</v>
      </c>
      <c r="B4" s="12">
        <v>89</v>
      </c>
      <c r="C4" s="12">
        <v>141</v>
      </c>
      <c r="G4" s="12">
        <v>3</v>
      </c>
      <c r="H4" s="15">
        <f>I4/$I$15</f>
        <v>4.1574279379157426E-2</v>
      </c>
      <c r="I4" s="12">
        <v>150</v>
      </c>
      <c r="J4" s="15">
        <f t="shared" ref="J4:J14" si="0">+J3+H4</f>
        <v>0.82815964523281604</v>
      </c>
      <c r="O4" s="13">
        <v>2</v>
      </c>
      <c r="P4" s="15">
        <f t="shared" ref="P4:P18" si="1">Q4/$Q$19</f>
        <v>0.16187778227438285</v>
      </c>
      <c r="Q4" s="12">
        <v>1200</v>
      </c>
      <c r="R4" s="15">
        <f>+R3+P4</f>
        <v>0.64724133279374074</v>
      </c>
    </row>
    <row r="5" spans="1:22" x14ac:dyDescent="0.25">
      <c r="A5" s="12">
        <v>4</v>
      </c>
      <c r="B5" s="12">
        <v>93</v>
      </c>
      <c r="C5" s="12">
        <v>90</v>
      </c>
      <c r="G5" s="12">
        <v>4</v>
      </c>
      <c r="H5" s="15">
        <f>I5/$I$15</f>
        <v>2.6330376940133036E-2</v>
      </c>
      <c r="I5" s="12">
        <v>95</v>
      </c>
      <c r="J5" s="15">
        <f t="shared" si="0"/>
        <v>0.85449002217294912</v>
      </c>
      <c r="O5" s="13">
        <v>3</v>
      </c>
      <c r="P5" s="15">
        <f t="shared" si="1"/>
        <v>5.8815594226359097E-2</v>
      </c>
      <c r="Q5" s="12">
        <v>436</v>
      </c>
      <c r="R5" s="15">
        <f t="shared" ref="R5:R18" si="2">+R4+P5</f>
        <v>0.70605692702009981</v>
      </c>
    </row>
    <row r="6" spans="1:22" x14ac:dyDescent="0.25">
      <c r="A6" s="12">
        <v>5</v>
      </c>
      <c r="B6" s="12">
        <v>91</v>
      </c>
      <c r="C6" s="12">
        <v>40</v>
      </c>
      <c r="G6" s="12">
        <v>5</v>
      </c>
      <c r="H6" s="15">
        <f>I6/$I$15</f>
        <v>2.5776053215077605E-2</v>
      </c>
      <c r="I6" s="12">
        <v>93</v>
      </c>
      <c r="J6" s="15">
        <f t="shared" si="0"/>
        <v>0.8802660753880267</v>
      </c>
      <c r="K6" s="12" t="s">
        <v>51</v>
      </c>
      <c r="L6" s="12" t="s">
        <v>52</v>
      </c>
      <c r="O6" s="13">
        <v>4</v>
      </c>
      <c r="P6" s="15">
        <f t="shared" si="1"/>
        <v>5.3419668150546336E-2</v>
      </c>
      <c r="Q6" s="12">
        <v>396</v>
      </c>
      <c r="R6" s="15">
        <f t="shared" si="2"/>
        <v>0.75947659517064614</v>
      </c>
    </row>
    <row r="7" spans="1:22" x14ac:dyDescent="0.25">
      <c r="A7" s="12">
        <v>6</v>
      </c>
      <c r="B7" s="12">
        <v>43</v>
      </c>
      <c r="C7" s="12">
        <v>45</v>
      </c>
      <c r="G7" s="12">
        <v>6</v>
      </c>
      <c r="H7" s="15">
        <f>I7/$I$15</f>
        <v>2.5221729490022174E-2</v>
      </c>
      <c r="I7" s="12">
        <v>91</v>
      </c>
      <c r="J7" s="15">
        <f t="shared" si="0"/>
        <v>0.90548780487804892</v>
      </c>
      <c r="K7" s="14">
        <f>G3/G14</f>
        <v>0.15384615384615385</v>
      </c>
      <c r="L7" s="14">
        <f>J3</f>
        <v>0.78658536585365857</v>
      </c>
      <c r="O7" s="13">
        <v>5</v>
      </c>
      <c r="P7" s="15">
        <f t="shared" si="1"/>
        <v>5.3419668150546336E-2</v>
      </c>
      <c r="Q7" s="12">
        <v>396</v>
      </c>
      <c r="R7" s="15">
        <f t="shared" si="2"/>
        <v>0.81289626332119247</v>
      </c>
    </row>
    <row r="8" spans="1:22" x14ac:dyDescent="0.25">
      <c r="A8" s="12">
        <v>7</v>
      </c>
      <c r="B8" s="12">
        <v>1260</v>
      </c>
      <c r="C8" s="12">
        <v>92</v>
      </c>
      <c r="G8" s="12">
        <v>7</v>
      </c>
      <c r="H8" s="15">
        <f>I8/$I$15</f>
        <v>2.4667405764966739E-2</v>
      </c>
      <c r="I8" s="12">
        <v>89</v>
      </c>
      <c r="J8" s="15">
        <f t="shared" si="0"/>
        <v>0.93015521064301565</v>
      </c>
      <c r="K8" s="12">
        <v>1</v>
      </c>
      <c r="L8" s="14">
        <f>L7/K7</f>
        <v>5.11280487804878</v>
      </c>
      <c r="M8" s="14">
        <f>L8+K8</f>
        <v>6.11280487804878</v>
      </c>
      <c r="O8" s="13">
        <v>6</v>
      </c>
      <c r="P8" s="15">
        <f t="shared" si="1"/>
        <v>4.1278834479967622E-2</v>
      </c>
      <c r="Q8" s="12">
        <v>306</v>
      </c>
      <c r="R8" s="15">
        <f t="shared" si="2"/>
        <v>0.85417509780116008</v>
      </c>
    </row>
    <row r="9" spans="1:22" x14ac:dyDescent="0.25">
      <c r="A9" s="12">
        <v>8</v>
      </c>
      <c r="B9" s="12">
        <v>95</v>
      </c>
      <c r="C9" s="12">
        <v>45</v>
      </c>
      <c r="G9" s="12">
        <v>8</v>
      </c>
      <c r="H9" s="15">
        <f>I9/$I$15</f>
        <v>1.1917960088691795E-2</v>
      </c>
      <c r="I9" s="12">
        <v>43</v>
      </c>
      <c r="J9" s="15">
        <f t="shared" si="0"/>
        <v>0.94207317073170749</v>
      </c>
      <c r="O9" s="13">
        <v>7</v>
      </c>
      <c r="P9" s="15">
        <f t="shared" si="1"/>
        <v>4.1143936328072304E-2</v>
      </c>
      <c r="Q9" s="12">
        <v>305</v>
      </c>
      <c r="R9" s="15">
        <f t="shared" si="2"/>
        <v>0.89531903412923242</v>
      </c>
      <c r="T9" s="12" t="s">
        <v>51</v>
      </c>
      <c r="U9" s="12" t="s">
        <v>52</v>
      </c>
      <c r="V9" s="12"/>
    </row>
    <row r="10" spans="1:22" x14ac:dyDescent="0.25">
      <c r="A10" s="12">
        <v>9</v>
      </c>
      <c r="B10" s="12">
        <v>42</v>
      </c>
      <c r="C10" s="12">
        <v>305</v>
      </c>
      <c r="G10" s="12">
        <v>9</v>
      </c>
      <c r="H10" s="15">
        <f>I10/$I$15</f>
        <v>1.1917960088691795E-2</v>
      </c>
      <c r="I10" s="12">
        <v>43</v>
      </c>
      <c r="J10" s="15">
        <f t="shared" si="0"/>
        <v>0.95399113082039932</v>
      </c>
      <c r="K10" s="13" t="s">
        <v>55</v>
      </c>
      <c r="L10" s="16">
        <f>LOG(M8)/LOG(L8)</f>
        <v>1.1094761943140337</v>
      </c>
      <c r="O10" s="13">
        <v>8</v>
      </c>
      <c r="P10" s="15">
        <f t="shared" si="1"/>
        <v>2.0774315391879131E-2</v>
      </c>
      <c r="Q10" s="12">
        <v>154</v>
      </c>
      <c r="R10" s="15">
        <f t="shared" si="2"/>
        <v>0.91609334952111154</v>
      </c>
      <c r="T10" s="15">
        <f>P6</f>
        <v>5.3419668150546336E-2</v>
      </c>
      <c r="U10" s="15">
        <f>R6</f>
        <v>0.75947659517064614</v>
      </c>
      <c r="V10" s="12"/>
    </row>
    <row r="11" spans="1:22" x14ac:dyDescent="0.25">
      <c r="A11" s="12">
        <v>10</v>
      </c>
      <c r="B11" s="12">
        <v>43</v>
      </c>
      <c r="C11" s="12">
        <v>396</v>
      </c>
      <c r="G11" s="12">
        <v>10</v>
      </c>
      <c r="H11" s="15">
        <f>I11/$I$15</f>
        <v>1.1917960088691795E-2</v>
      </c>
      <c r="I11" s="12">
        <v>43</v>
      </c>
      <c r="J11" s="15">
        <f t="shared" si="0"/>
        <v>0.96590909090909116</v>
      </c>
      <c r="O11" s="13">
        <v>9</v>
      </c>
      <c r="P11" s="15">
        <f t="shared" si="1"/>
        <v>1.9020639417239985E-2</v>
      </c>
      <c r="Q11" s="12">
        <v>141</v>
      </c>
      <c r="R11" s="15">
        <f t="shared" si="2"/>
        <v>0.93511398893835151</v>
      </c>
      <c r="T11" s="12">
        <v>1</v>
      </c>
      <c r="U11" s="17">
        <f>U10/T10</f>
        <v>14.217171717171718</v>
      </c>
      <c r="V11" s="17">
        <f>U11+T11</f>
        <v>15.217171717171718</v>
      </c>
    </row>
    <row r="12" spans="1:22" x14ac:dyDescent="0.25">
      <c r="A12" s="12">
        <v>11</v>
      </c>
      <c r="B12" s="12">
        <v>39</v>
      </c>
      <c r="C12" s="12">
        <v>1200</v>
      </c>
      <c r="G12" s="12">
        <v>11</v>
      </c>
      <c r="H12" s="15">
        <f>I12/$I$15</f>
        <v>1.164079822616408E-2</v>
      </c>
      <c r="I12" s="12">
        <v>42</v>
      </c>
      <c r="J12" s="15">
        <f t="shared" si="0"/>
        <v>0.9775498891352552</v>
      </c>
      <c r="O12" s="13">
        <v>10</v>
      </c>
      <c r="P12" s="15">
        <f t="shared" si="1"/>
        <v>1.6727370835019559E-2</v>
      </c>
      <c r="Q12" s="12">
        <v>124</v>
      </c>
      <c r="R12" s="15">
        <f t="shared" si="2"/>
        <v>0.95184135977337103</v>
      </c>
    </row>
    <row r="13" spans="1:22" x14ac:dyDescent="0.25">
      <c r="A13" s="12">
        <v>12</v>
      </c>
      <c r="B13" s="12">
        <v>42</v>
      </c>
      <c r="C13" s="12">
        <v>396</v>
      </c>
      <c r="G13" s="12">
        <v>12</v>
      </c>
      <c r="H13" s="15">
        <f>I13/$I$15</f>
        <v>1.164079822616408E-2</v>
      </c>
      <c r="I13" s="12">
        <v>42</v>
      </c>
      <c r="J13" s="15">
        <f t="shared" si="0"/>
        <v>0.98919068736141924</v>
      </c>
      <c r="O13" s="13">
        <v>11</v>
      </c>
      <c r="P13" s="15">
        <f t="shared" si="1"/>
        <v>1.2410629974369352E-2</v>
      </c>
      <c r="Q13" s="12">
        <v>92</v>
      </c>
      <c r="R13" s="15">
        <f t="shared" si="2"/>
        <v>0.9642519897477404</v>
      </c>
    </row>
    <row r="14" spans="1:22" x14ac:dyDescent="0.25">
      <c r="A14" s="12">
        <v>13</v>
      </c>
      <c r="B14" s="12">
        <v>43</v>
      </c>
      <c r="C14" s="12">
        <v>306</v>
      </c>
      <c r="G14" s="12">
        <v>13</v>
      </c>
      <c r="H14" s="15">
        <f>I14/$I$15</f>
        <v>1.0809312638580931E-2</v>
      </c>
      <c r="I14" s="12">
        <v>39</v>
      </c>
      <c r="J14" s="15">
        <f>+J13+H14</f>
        <v>1.0000000000000002</v>
      </c>
      <c r="O14" s="13">
        <v>12</v>
      </c>
      <c r="P14" s="15">
        <f t="shared" si="1"/>
        <v>1.2140833670578713E-2</v>
      </c>
      <c r="Q14" s="12">
        <v>90</v>
      </c>
      <c r="R14" s="15">
        <f t="shared" si="2"/>
        <v>0.97639282341831912</v>
      </c>
    </row>
    <row r="15" spans="1:22" x14ac:dyDescent="0.25">
      <c r="A15" s="12">
        <v>14</v>
      </c>
      <c r="B15" s="12"/>
      <c r="C15" s="12">
        <v>154</v>
      </c>
      <c r="G15" s="12"/>
      <c r="H15" s="12"/>
      <c r="I15" s="12">
        <f>SUM(I2:I14)</f>
        <v>3608</v>
      </c>
      <c r="J15" s="12"/>
      <c r="O15" s="13">
        <v>13</v>
      </c>
      <c r="P15" s="15">
        <f t="shared" si="1"/>
        <v>6.0704168352893563E-3</v>
      </c>
      <c r="Q15" s="12">
        <v>45</v>
      </c>
      <c r="R15" s="15">
        <f t="shared" si="2"/>
        <v>0.98246324025360843</v>
      </c>
      <c r="T15" s="13" t="s">
        <v>55</v>
      </c>
      <c r="U15" s="16">
        <f>LOG(V11)/LOG(U11)</f>
        <v>1.0256075591929579</v>
      </c>
    </row>
    <row r="16" spans="1:22" x14ac:dyDescent="0.25">
      <c r="A16" s="12">
        <v>15</v>
      </c>
      <c r="B16" s="12"/>
      <c r="C16" s="12">
        <v>124</v>
      </c>
      <c r="O16" s="13">
        <v>14</v>
      </c>
      <c r="P16" s="15">
        <f t="shared" si="1"/>
        <v>6.0704168352893563E-3</v>
      </c>
      <c r="Q16" s="12">
        <v>45</v>
      </c>
      <c r="R16" s="15">
        <f t="shared" si="2"/>
        <v>0.98853365708889773</v>
      </c>
    </row>
    <row r="17" spans="1:18" x14ac:dyDescent="0.25">
      <c r="A17" s="12">
        <v>16</v>
      </c>
      <c r="B17" s="12"/>
      <c r="C17" s="12">
        <v>45</v>
      </c>
      <c r="O17" s="13">
        <v>15</v>
      </c>
      <c r="P17" s="15">
        <f t="shared" si="1"/>
        <v>6.0704168352893563E-3</v>
      </c>
      <c r="Q17" s="12">
        <v>45</v>
      </c>
      <c r="R17" s="15">
        <f t="shared" si="2"/>
        <v>0.99460407392418704</v>
      </c>
    </row>
    <row r="18" spans="1:18" x14ac:dyDescent="0.25">
      <c r="O18" s="13">
        <v>16</v>
      </c>
      <c r="P18" s="15">
        <f t="shared" si="1"/>
        <v>5.3959260758127611E-3</v>
      </c>
      <c r="Q18" s="12">
        <v>40</v>
      </c>
      <c r="R18" s="12">
        <f t="shared" si="2"/>
        <v>0.99999999999999978</v>
      </c>
    </row>
    <row r="19" spans="1:18" x14ac:dyDescent="0.25">
      <c r="P19" s="12"/>
      <c r="Q19" s="12">
        <f>SUM(Q3:Q18)</f>
        <v>7413</v>
      </c>
      <c r="R19" s="12"/>
    </row>
  </sheetData>
  <sortState xmlns:xlrd2="http://schemas.microsoft.com/office/spreadsheetml/2017/richdata2" ref="P3:Q18">
    <sortCondition descending="1" ref="Q3:Q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F6AD-EAF3-4569-983E-648C49A57002}">
  <dimension ref="A1:E21"/>
  <sheetViews>
    <sheetView tabSelected="1" zoomScale="148" workbookViewId="0">
      <selection activeCell="E15" sqref="E15"/>
    </sheetView>
  </sheetViews>
  <sheetFormatPr defaultRowHeight="14.4" x14ac:dyDescent="0.3"/>
  <cols>
    <col min="1" max="1" width="8.5546875" bestFit="1" customWidth="1"/>
    <col min="2" max="2" width="13" bestFit="1" customWidth="1"/>
    <col min="4" max="4" width="16" bestFit="1" customWidth="1"/>
    <col min="5" max="5" width="11.33203125" bestFit="1" customWidth="1"/>
    <col min="7" max="7" width="6.33203125" customWidth="1"/>
    <col min="8" max="8" width="7" customWidth="1"/>
  </cols>
  <sheetData>
    <row r="1" spans="1:5" x14ac:dyDescent="0.3">
      <c r="A1" s="5" t="s">
        <v>56</v>
      </c>
      <c r="B1" s="5" t="s">
        <v>60</v>
      </c>
    </row>
    <row r="2" spans="1:5" x14ac:dyDescent="0.3">
      <c r="A2" s="5">
        <v>12</v>
      </c>
      <c r="B2" s="5">
        <f>((A2-$E$6)/($E$7))^3</f>
        <v>-4.1725379670486955</v>
      </c>
    </row>
    <row r="3" spans="1:5" x14ac:dyDescent="0.3">
      <c r="A3" s="5">
        <v>13</v>
      </c>
      <c r="B3" s="5">
        <f t="shared" ref="B3:B21" si="0">((A3-$E$6)/($E$7))^3</f>
        <v>-3.5885168072613807</v>
      </c>
    </row>
    <row r="4" spans="1:5" x14ac:dyDescent="0.3">
      <c r="A4" s="5">
        <v>17</v>
      </c>
      <c r="B4" s="5">
        <f t="shared" si="0"/>
        <v>-1.7950310172092956</v>
      </c>
    </row>
    <row r="5" spans="1:5" x14ac:dyDescent="0.3">
      <c r="A5" s="5">
        <v>21</v>
      </c>
      <c r="B5" s="5">
        <f t="shared" si="0"/>
        <v>-0.72815585986126108</v>
      </c>
    </row>
    <row r="6" spans="1:5" x14ac:dyDescent="0.3">
      <c r="A6" s="5">
        <v>24</v>
      </c>
      <c r="B6" s="5">
        <f t="shared" si="0"/>
        <v>-0.29130480820225985</v>
      </c>
      <c r="D6" s="5" t="s">
        <v>57</v>
      </c>
      <c r="E6" s="5">
        <f>AVERAGE(A2:A21)</f>
        <v>32.4</v>
      </c>
    </row>
    <row r="7" spans="1:5" x14ac:dyDescent="0.3">
      <c r="A7" s="5">
        <v>24</v>
      </c>
      <c r="B7" s="5">
        <f t="shared" si="0"/>
        <v>-0.29130480820225985</v>
      </c>
      <c r="D7" s="5" t="s">
        <v>58</v>
      </c>
      <c r="E7" s="18">
        <f>_xlfn.STDEV.S(A2:A21)</f>
        <v>12.671559535141345</v>
      </c>
    </row>
    <row r="8" spans="1:5" x14ac:dyDescent="0.3">
      <c r="A8" s="5">
        <v>26</v>
      </c>
      <c r="B8" s="5">
        <f t="shared" si="0"/>
        <v>-0.12883970353055349</v>
      </c>
      <c r="D8" s="5" t="s">
        <v>59</v>
      </c>
      <c r="E8" s="5">
        <f>COUNT(A2:A21)</f>
        <v>20</v>
      </c>
    </row>
    <row r="9" spans="1:5" x14ac:dyDescent="0.3">
      <c r="A9" s="5">
        <v>27</v>
      </c>
      <c r="B9" s="5">
        <f t="shared" si="0"/>
        <v>-7.7391109759273796E-2</v>
      </c>
      <c r="D9" s="5"/>
      <c r="E9" s="5"/>
    </row>
    <row r="10" spans="1:5" x14ac:dyDescent="0.3">
      <c r="A10" s="5">
        <v>27</v>
      </c>
      <c r="B10" s="5">
        <f t="shared" si="0"/>
        <v>-7.7391109759273796E-2</v>
      </c>
      <c r="D10" s="5" t="s">
        <v>61</v>
      </c>
      <c r="E10" s="5">
        <f>SUM(B2:B21)</f>
        <v>4.4291400401630501</v>
      </c>
    </row>
    <row r="11" spans="1:5" x14ac:dyDescent="0.3">
      <c r="A11" s="5">
        <v>30</v>
      </c>
      <c r="B11" s="5">
        <f t="shared" si="0"/>
        <v>-6.7942812408690262E-3</v>
      </c>
      <c r="D11" s="5"/>
      <c r="E11" s="5"/>
    </row>
    <row r="12" spans="1:5" x14ac:dyDescent="0.3">
      <c r="A12" s="5">
        <v>32</v>
      </c>
      <c r="B12" s="5">
        <f t="shared" si="0"/>
        <v>-3.1455005744763731E-5</v>
      </c>
      <c r="D12" s="5"/>
      <c r="E12" s="5"/>
    </row>
    <row r="13" spans="1:5" x14ac:dyDescent="0.3">
      <c r="A13" s="5">
        <v>35</v>
      </c>
      <c r="B13" s="5">
        <f t="shared" si="0"/>
        <v>8.6383309526558462E-3</v>
      </c>
      <c r="D13" s="5" t="s">
        <v>62</v>
      </c>
      <c r="E13" s="5">
        <f>MIN(A2:A21)</f>
        <v>12</v>
      </c>
    </row>
    <row r="14" spans="1:5" x14ac:dyDescent="0.3">
      <c r="A14" s="5">
        <v>37</v>
      </c>
      <c r="B14" s="5">
        <f t="shared" si="0"/>
        <v>4.7839131862068084E-2</v>
      </c>
      <c r="D14" s="5" t="s">
        <v>63</v>
      </c>
      <c r="E14" s="5">
        <f xml:space="preserve"> MAX(A2:A21)</f>
        <v>58</v>
      </c>
    </row>
    <row r="15" spans="1:5" x14ac:dyDescent="0.3">
      <c r="A15" s="5">
        <v>38</v>
      </c>
      <c r="B15" s="5">
        <f t="shared" si="0"/>
        <v>8.6312535763632625E-2</v>
      </c>
      <c r="D15" s="5">
        <v>20</v>
      </c>
      <c r="E15" s="5" cm="1">
        <f t="array" ref="E15:E19">FREQUENCY(A:A,D15:D18)</f>
        <v>3</v>
      </c>
    </row>
    <row r="16" spans="1:5" x14ac:dyDescent="0.3">
      <c r="A16" s="5">
        <v>41</v>
      </c>
      <c r="B16" s="5">
        <f t="shared" si="0"/>
        <v>0.31261164271861963</v>
      </c>
      <c r="D16" s="5">
        <v>30</v>
      </c>
      <c r="E16" s="5">
        <v>7</v>
      </c>
    </row>
    <row r="17" spans="1:5" x14ac:dyDescent="0.3">
      <c r="A17" s="5">
        <v>43</v>
      </c>
      <c r="B17" s="5">
        <f t="shared" si="0"/>
        <v>0.58536586128290513</v>
      </c>
      <c r="D17" s="5">
        <v>40</v>
      </c>
      <c r="E17" s="5">
        <v>4</v>
      </c>
    </row>
    <row r="18" spans="1:5" x14ac:dyDescent="0.3">
      <c r="A18" s="5">
        <v>44</v>
      </c>
      <c r="B18" s="5">
        <f t="shared" si="0"/>
        <v>0.7671561351090509</v>
      </c>
      <c r="D18" s="5">
        <v>50</v>
      </c>
      <c r="E18" s="5">
        <v>4</v>
      </c>
    </row>
    <row r="19" spans="1:5" x14ac:dyDescent="0.3">
      <c r="A19" s="5">
        <v>46</v>
      </c>
      <c r="B19" s="5">
        <f t="shared" si="0"/>
        <v>1.2363075457922075</v>
      </c>
      <c r="D19" s="5">
        <v>60</v>
      </c>
      <c r="E19" s="5">
        <v>2</v>
      </c>
    </row>
    <row r="20" spans="1:5" x14ac:dyDescent="0.3">
      <c r="A20" s="5">
        <v>53</v>
      </c>
      <c r="B20" s="5">
        <f t="shared" si="0"/>
        <v>4.2964667578073499</v>
      </c>
    </row>
    <row r="21" spans="1:5" x14ac:dyDescent="0.3">
      <c r="A21" s="5">
        <v>58</v>
      </c>
      <c r="B21" s="5">
        <f t="shared" si="0"/>
        <v>8.2457410259554287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Kulkarni</dc:creator>
  <cp:lastModifiedBy>Rahul Kulkarni</cp:lastModifiedBy>
  <dcterms:created xsi:type="dcterms:W3CDTF">2026-08-22T06:57:22Z</dcterms:created>
  <dcterms:modified xsi:type="dcterms:W3CDTF">2026-09-15T07:59:06Z</dcterms:modified>
</cp:coreProperties>
</file>