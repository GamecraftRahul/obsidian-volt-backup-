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OneDrive\Documents\Obsidian Vault\ISMS\PGDM FY ( TREAM 1)\business analysis\CLG source and practice\"/>
    </mc:Choice>
  </mc:AlternateContent>
  <xr:revisionPtr revIDLastSave="0" documentId="13_ncr:1_{8974BA9F-8ADB-4895-B85E-10A35DF14109}" xr6:coauthVersionLast="47" xr6:coauthVersionMax="47" xr10:uidLastSave="{00000000-0000-0000-0000-000000000000}"/>
  <bookViews>
    <workbookView xWindow="-108" yWindow="-108" windowWidth="23256" windowHeight="14616" activeTab="2" xr2:uid="{A02E834C-DC8B-4D5C-AC9A-B4F77F1604EC}"/>
  </bookViews>
  <sheets>
    <sheet name="Sheet1" sheetId="1" r:id="rId1"/>
    <sheet name="Sheet2" sheetId="2" r:id="rId2"/>
    <sheet name="Sheet3" sheetId="3" r:id="rId3"/>
  </sheets>
  <definedNames>
    <definedName name="solver_adj" localSheetId="0" hidden="1">Sheet1!$M$20:$P$23</definedName>
    <definedName name="solver_adj" localSheetId="1" hidden="1">Sheet2!$G$20:$K$24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2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Sheet1!$M$20:$P$23</definedName>
    <definedName name="solver_lhs1" localSheetId="1" hidden="1">Sheet2!$G$20:$K$24</definedName>
    <definedName name="solver_lhs2" localSheetId="0" hidden="1">Sheet1!$M$24:$P$24</definedName>
    <definedName name="solver_lhs2" localSheetId="1" hidden="1">Sheet2!$G$26:$K$26</definedName>
    <definedName name="solver_lhs3" localSheetId="0" hidden="1">Sheet1!$Q$20:$Q$23</definedName>
    <definedName name="solver_lhs3" localSheetId="1" hidden="1">Sheet2!$H$31:$H$35</definedName>
    <definedName name="solver_lhs4" localSheetId="1" hidden="1">Sheet2!$L$20:$L$24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3</definedName>
    <definedName name="solver_num" localSheetId="1" hidden="1">4</definedName>
    <definedName name="solver_nwt" localSheetId="0" hidden="1">1</definedName>
    <definedName name="solver_nwt" localSheetId="1" hidden="1">1</definedName>
    <definedName name="solver_opt" localSheetId="0" hidden="1">Sheet1!$R$28</definedName>
    <definedName name="solver_opt" localSheetId="1" hidden="1">Sheet2!$O$30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2</definedName>
    <definedName name="solver_rel1" localSheetId="0" hidden="1">5</definedName>
    <definedName name="solver_rel1" localSheetId="1" hidden="1">5</definedName>
    <definedName name="solver_rel2" localSheetId="0" hidden="1">2</definedName>
    <definedName name="solver_rel2" localSheetId="1" hidden="1">2</definedName>
    <definedName name="solver_rel3" localSheetId="0" hidden="1">2</definedName>
    <definedName name="solver_rel3" localSheetId="1" hidden="1">2</definedName>
    <definedName name="solver_rel4" localSheetId="1" hidden="1">2</definedName>
    <definedName name="solver_rhs1" localSheetId="0" hidden="1">"binary"</definedName>
    <definedName name="solver_rhs1" localSheetId="1" hidden="1">"binary"</definedName>
    <definedName name="solver_rhs2" localSheetId="0" hidden="1">Sheet1!$M$26:$P$26</definedName>
    <definedName name="solver_rhs2" localSheetId="1" hidden="1">Sheet2!$G$28:$K$28</definedName>
    <definedName name="solver_rhs3" localSheetId="0" hidden="1">Sheet1!$S$20:$S$23</definedName>
    <definedName name="solver_rhs3" localSheetId="1" hidden="1">Sheet2!$J$31:$J$35</definedName>
    <definedName name="solver_rhs4" localSheetId="1" hidden="1">Sheet2!$N$20:$N$24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2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2" l="1"/>
  <c r="O30" i="2"/>
  <c r="H35" i="2"/>
  <c r="H34" i="2"/>
  <c r="H32" i="2"/>
  <c r="H31" i="2"/>
  <c r="L21" i="2"/>
  <c r="L22" i="2"/>
  <c r="L23" i="2"/>
  <c r="L24" i="2"/>
  <c r="L20" i="2"/>
  <c r="H26" i="2"/>
  <c r="I26" i="2"/>
  <c r="J26" i="2"/>
  <c r="K26" i="2"/>
  <c r="G26" i="2"/>
  <c r="R28" i="1"/>
  <c r="Q21" i="1"/>
  <c r="Q22" i="1"/>
  <c r="Q23" i="1"/>
  <c r="Q20" i="1"/>
  <c r="N24" i="1"/>
  <c r="O24" i="1"/>
  <c r="P24" i="1"/>
  <c r="M24" i="1"/>
  <c r="I14" i="1"/>
  <c r="I13" i="1"/>
</calcChain>
</file>

<file path=xl/sharedStrings.xml><?xml version="1.0" encoding="utf-8"?>
<sst xmlns="http://schemas.openxmlformats.org/spreadsheetml/2006/main" count="116" uniqueCount="44">
  <si>
    <t xml:space="preserve"> </t>
  </si>
  <si>
    <t>W1</t>
  </si>
  <si>
    <t>W2</t>
  </si>
  <si>
    <t>W3</t>
  </si>
  <si>
    <t>W4</t>
  </si>
  <si>
    <t>M1</t>
  </si>
  <si>
    <t>M2</t>
  </si>
  <si>
    <t>M3</t>
  </si>
  <si>
    <t>M4</t>
  </si>
  <si>
    <t>CURRENT ALLOCATION</t>
  </si>
  <si>
    <t xml:space="preserve">SUM </t>
  </si>
  <si>
    <t>MY SUMPTION</t>
  </si>
  <si>
    <t>2ND TRY</t>
  </si>
  <si>
    <t>TODAY</t>
  </si>
  <si>
    <t>OPTIMUM</t>
  </si>
  <si>
    <t>_</t>
  </si>
  <si>
    <t xml:space="preserve">OPTIMUM CONSUMTION </t>
  </si>
  <si>
    <t>W5</t>
  </si>
  <si>
    <t>M5</t>
  </si>
  <si>
    <t>1/0</t>
  </si>
  <si>
    <t>CONDITIONS</t>
  </si>
  <si>
    <t>OPTIMUM WAY</t>
  </si>
  <si>
    <t xml:space="preserve">TOTAL </t>
  </si>
  <si>
    <t xml:space="preserve">Qtr </t>
  </si>
  <si>
    <t>Product A</t>
  </si>
  <si>
    <t>Product B</t>
  </si>
  <si>
    <t>Product</t>
  </si>
  <si>
    <t>Product D</t>
  </si>
  <si>
    <t>Product E</t>
  </si>
  <si>
    <t>Product F</t>
  </si>
  <si>
    <t>Product C</t>
  </si>
  <si>
    <t>Qtr 1</t>
  </si>
  <si>
    <t>Qtr2</t>
  </si>
  <si>
    <t>Qtr3</t>
  </si>
  <si>
    <t>Qtr 4</t>
  </si>
  <si>
    <t>East</t>
  </si>
  <si>
    <t>North</t>
  </si>
  <si>
    <t>South</t>
  </si>
  <si>
    <t>West</t>
  </si>
  <si>
    <t xml:space="preserve">Region </t>
  </si>
  <si>
    <t>Qtr4</t>
  </si>
  <si>
    <t xml:space="preserve">North </t>
  </si>
  <si>
    <t xml:space="preserve">South </t>
  </si>
  <si>
    <t>Wast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</si>
</sst>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27ACB"/>
        <bgColor indexed="64"/>
      </patternFill>
    </fill>
    <fill>
      <patternFill patternType="solid">
        <fgColor rgb="FF63A4F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530241</xdr:colOff>
          <xdr:row>4</xdr:row>
          <xdr:rowOff>135899</xdr:rowOff>
        </xdr:from>
        <xdr:to>
          <xdr:col>18</xdr:col>
          <xdr:colOff>125269</xdr:colOff>
          <xdr:row>19</xdr:row>
          <xdr:rowOff>4854</xdr:rowOff>
        </xdr:to>
        <xdr:grpSp>
          <xdr:nvGrpSpPr>
            <xdr:cNvPr id="12" name="Group 11">
              <a:extLst>
                <a:ext uri="{FF2B5EF4-FFF2-40B4-BE49-F238E27FC236}">
                  <a16:creationId xmlns:a16="http://schemas.microsoft.com/office/drawing/2014/main" id="{494D30E7-DEA2-B0D6-2EF3-2ADA5844CC89}"/>
                </a:ext>
              </a:extLst>
            </xdr:cNvPr>
            <xdr:cNvGrpSpPr/>
          </xdr:nvGrpSpPr>
          <xdr:grpSpPr>
            <a:xfrm>
              <a:off x="5665247" y="873631"/>
              <a:ext cx="3875818" cy="2800471"/>
              <a:chOff x="5946750" y="694051"/>
              <a:chExt cx="3875818" cy="2800471"/>
            </a:xfrm>
          </xdr:grpSpPr>
          <xdr:grpSp>
            <xdr:nvGrpSpPr>
              <xdr:cNvPr id="11" name="Group 10">
                <a:extLst>
                  <a:ext uri="{FF2B5EF4-FFF2-40B4-BE49-F238E27FC236}">
                    <a16:creationId xmlns:a16="http://schemas.microsoft.com/office/drawing/2014/main" id="{B0A07E0A-0B5E-8A76-77BF-071D1324612C}"/>
                  </a:ext>
                </a:extLst>
              </xdr:cNvPr>
              <xdr:cNvGrpSpPr/>
            </xdr:nvGrpSpPr>
            <xdr:grpSpPr>
              <a:xfrm>
                <a:off x="5946750" y="2193783"/>
                <a:ext cx="3875818" cy="1300739"/>
                <a:chOff x="5946750" y="2193783"/>
                <a:chExt cx="3875818" cy="1300739"/>
              </a:xfrm>
            </xdr:grpSpPr>
            <xdr:pic>
              <xdr:nvPicPr>
                <xdr:cNvPr id="6" name="Picture 5">
                  <a:extLst>
                    <a:ext uri="{FF2B5EF4-FFF2-40B4-BE49-F238E27FC236}">
                      <a16:creationId xmlns:a16="http://schemas.microsoft.com/office/drawing/2014/main" id="{5B6353D3-E3F6-E101-9E7F-21DF00B3FBDB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A$1:$E$7" spid="_x0000_s3096"/>
                    </a:ext>
                  </a:extLst>
                </xdr:cNvPicPr>
              </xdr:nvPicPr>
              <xdr:blipFill>
                <a:blip xmlns:r="http://schemas.openxmlformats.org/officeDocument/2006/relationships" r:embed="rId1"/>
                <a:srcRect/>
                <a:stretch>
                  <a:fillRect/>
                </a:stretch>
              </xdr:blipFill>
              <xdr:spPr bwMode="auto">
                <a:xfrm>
                  <a:off x="5946750" y="2193784"/>
                  <a:ext cx="2272609" cy="1300738"/>
                </a:xfrm>
                <a:prstGeom prst="rect">
                  <a:avLst/>
                </a:prstGeom>
                <a:noFill/>
                <a:scene3d>
                  <a:camera prst="isometricLeftDown"/>
                  <a:lightRig rig="threePt" dir="t"/>
                </a:scene3d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  <xdr:pic>
              <xdr:nvPicPr>
                <xdr:cNvPr id="8" name="Picture 7">
                  <a:extLst>
                    <a:ext uri="{FF2B5EF4-FFF2-40B4-BE49-F238E27FC236}">
                      <a16:creationId xmlns:a16="http://schemas.microsoft.com/office/drawing/2014/main" id="{D4942165-AA42-F523-8182-BF7373D6D057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G$1:$K$7" spid="_x0000_s3097"/>
                    </a:ext>
                  </a:extLst>
                </xdr:cNvPicPr>
              </xdr:nvPicPr>
              <xdr:blipFill>
                <a:blip xmlns:r="http://schemas.openxmlformats.org/officeDocument/2006/relationships" r:embed="rId2"/>
                <a:srcRect/>
                <a:stretch>
                  <a:fillRect/>
                </a:stretch>
              </xdr:blipFill>
              <xdr:spPr bwMode="auto">
                <a:xfrm>
                  <a:off x="7552051" y="2193783"/>
                  <a:ext cx="2270517" cy="1298652"/>
                </a:xfrm>
                <a:prstGeom prst="rect">
                  <a:avLst/>
                </a:prstGeom>
                <a:noFill/>
                <a:scene3d>
                  <a:camera prst="isometricRightUp"/>
                  <a:lightRig rig="threePt" dir="t"/>
                </a:scene3d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xdr:grpSp>
          <xdr:pic>
            <xdr:nvPicPr>
              <xdr:cNvPr id="10" name="Picture 9">
                <a:extLst>
                  <a:ext uri="{FF2B5EF4-FFF2-40B4-BE49-F238E27FC236}">
                    <a16:creationId xmlns:a16="http://schemas.microsoft.com/office/drawing/2014/main" id="{7D227401-AE90-B861-E6BE-919B9F7A7672}"/>
                  </a:ext>
                </a:extLst>
              </xdr:cNvPr>
              <xdr:cNvPicPr preferRelativeResize="0">
                <a:picLocks noChangeArrowheads="1"/>
                <a:extLst>
                  <a:ext uri="{84589F7E-364E-4C9E-8A38-B11213B215E9}">
                    <a14:cameraTool cellRange="$A$11:$E$15" spid="_x0000_s3098"/>
                  </a:ext>
                </a:extLst>
              </xdr:cNvPicPr>
            </xdr:nvPicPr>
            <xdr:blipFill>
              <a:blip xmlns:r="http://schemas.openxmlformats.org/officeDocument/2006/relationships" r:embed="rId3"/>
              <a:srcRect/>
              <a:stretch>
                <a:fillRect/>
              </a:stretch>
            </xdr:blipFill>
            <xdr:spPr bwMode="auto">
              <a:xfrm>
                <a:off x="6741515" y="694051"/>
                <a:ext cx="2268000" cy="2304000"/>
              </a:xfrm>
              <a:prstGeom prst="rect">
                <a:avLst/>
              </a:prstGeom>
              <a:noFill/>
              <a:scene3d>
                <a:camera prst="isometricTopUp"/>
                <a:lightRig rig="threePt" dir="t"/>
              </a:scene3d>
              <a:extLst>
                <a:ext uri="{909E8E84-426E-40DD-AFC4-6F175D3DCCD1}">
                  <a14:hiddenFill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6F1EE-C860-4777-B2BC-B9EED59081BC}">
  <dimension ref="A2:S28"/>
  <sheetViews>
    <sheetView workbookViewId="0">
      <selection activeCell="R28" sqref="R28"/>
    </sheetView>
  </sheetViews>
  <sheetFormatPr defaultRowHeight="14.4" x14ac:dyDescent="0.3"/>
  <cols>
    <col min="1" max="16384" width="8.88671875" style="1"/>
  </cols>
  <sheetData>
    <row r="2" spans="1:16" x14ac:dyDescent="0.3">
      <c r="A2" s="1" t="s">
        <v>0</v>
      </c>
      <c r="B2" s="3"/>
      <c r="C2" s="3" t="s">
        <v>5</v>
      </c>
      <c r="D2" s="3" t="s">
        <v>6</v>
      </c>
      <c r="E2" s="3" t="s">
        <v>7</v>
      </c>
      <c r="F2" s="3" t="s">
        <v>8</v>
      </c>
    </row>
    <row r="3" spans="1:16" x14ac:dyDescent="0.3">
      <c r="B3" s="3" t="s">
        <v>1</v>
      </c>
      <c r="C3" s="3">
        <v>8</v>
      </c>
      <c r="D3" s="3">
        <v>14</v>
      </c>
      <c r="E3" s="3">
        <v>6</v>
      </c>
      <c r="F3" s="3">
        <v>12</v>
      </c>
    </row>
    <row r="4" spans="1:16" x14ac:dyDescent="0.3">
      <c r="B4" s="3" t="s">
        <v>2</v>
      </c>
      <c r="C4" s="3">
        <v>10</v>
      </c>
      <c r="D4" s="3">
        <v>7</v>
      </c>
      <c r="E4" s="3">
        <v>13</v>
      </c>
      <c r="F4" s="3">
        <v>9</v>
      </c>
    </row>
    <row r="5" spans="1:16" x14ac:dyDescent="0.3">
      <c r="B5" s="3" t="s">
        <v>3</v>
      </c>
      <c r="C5" s="3">
        <v>15</v>
      </c>
      <c r="D5" s="3">
        <v>11</v>
      </c>
      <c r="E5" s="3">
        <v>8</v>
      </c>
      <c r="F5" s="3">
        <v>6</v>
      </c>
    </row>
    <row r="6" spans="1:16" x14ac:dyDescent="0.3">
      <c r="B6" s="3" t="s">
        <v>4</v>
      </c>
      <c r="C6" s="3">
        <v>9</v>
      </c>
      <c r="D6" s="3">
        <v>12</v>
      </c>
      <c r="E6" s="3">
        <v>10</v>
      </c>
      <c r="F6" s="4">
        <v>7</v>
      </c>
      <c r="G6" s="2"/>
      <c r="H6" s="2" t="s">
        <v>9</v>
      </c>
      <c r="I6" s="2"/>
    </row>
    <row r="7" spans="1:16" x14ac:dyDescent="0.3">
      <c r="G7" s="2"/>
      <c r="H7" s="2"/>
      <c r="I7" s="2"/>
    </row>
    <row r="8" spans="1:16" x14ac:dyDescent="0.3">
      <c r="G8" s="2"/>
      <c r="H8" s="2" t="s">
        <v>1</v>
      </c>
      <c r="I8" s="2" t="s">
        <v>5</v>
      </c>
    </row>
    <row r="9" spans="1:16" x14ac:dyDescent="0.3">
      <c r="G9" s="2"/>
      <c r="H9" s="2" t="s">
        <v>2</v>
      </c>
      <c r="I9" s="2" t="s">
        <v>6</v>
      </c>
    </row>
    <row r="10" spans="1:16" x14ac:dyDescent="0.3">
      <c r="G10" s="2"/>
      <c r="H10" s="2" t="s">
        <v>3</v>
      </c>
      <c r="I10" s="2" t="s">
        <v>7</v>
      </c>
      <c r="L10" s="1" t="s">
        <v>13</v>
      </c>
      <c r="M10" s="2" t="s">
        <v>5</v>
      </c>
      <c r="N10" s="2" t="s">
        <v>6</v>
      </c>
      <c r="O10" s="2" t="s">
        <v>7</v>
      </c>
      <c r="P10" s="2" t="s">
        <v>8</v>
      </c>
    </row>
    <row r="11" spans="1:16" x14ac:dyDescent="0.3">
      <c r="G11" s="2"/>
      <c r="H11" s="2" t="s">
        <v>4</v>
      </c>
      <c r="I11" s="2" t="s">
        <v>8</v>
      </c>
      <c r="L11" s="2" t="s">
        <v>1</v>
      </c>
      <c r="M11" s="2">
        <v>1</v>
      </c>
      <c r="N11" s="2"/>
      <c r="O11" s="2"/>
      <c r="P11" s="2"/>
    </row>
    <row r="12" spans="1:16" x14ac:dyDescent="0.3">
      <c r="L12" s="2" t="s">
        <v>2</v>
      </c>
      <c r="M12" s="2"/>
      <c r="N12" s="2">
        <v>1</v>
      </c>
      <c r="O12" s="2"/>
      <c r="P12" s="2"/>
    </row>
    <row r="13" spans="1:16" x14ac:dyDescent="0.3">
      <c r="H13" s="1" t="s">
        <v>10</v>
      </c>
      <c r="I13" s="1">
        <f>SUM(F6,E5,D4,C3)</f>
        <v>30</v>
      </c>
      <c r="L13" s="2" t="s">
        <v>3</v>
      </c>
      <c r="M13" s="2"/>
      <c r="N13" s="2"/>
      <c r="O13" s="2">
        <v>1</v>
      </c>
      <c r="P13" s="2"/>
    </row>
    <row r="14" spans="1:16" x14ac:dyDescent="0.3">
      <c r="H14" s="1" t="s">
        <v>11</v>
      </c>
      <c r="I14" s="1">
        <f>SUM(E3,D4,F5,C6)</f>
        <v>28</v>
      </c>
      <c r="L14" s="2" t="s">
        <v>4</v>
      </c>
      <c r="M14" s="2"/>
      <c r="N14" s="2"/>
      <c r="O14" s="2"/>
      <c r="P14" s="2">
        <v>1</v>
      </c>
    </row>
    <row r="15" spans="1:16" x14ac:dyDescent="0.3">
      <c r="H15" s="1" t="s">
        <v>12</v>
      </c>
    </row>
    <row r="19" spans="12:19" x14ac:dyDescent="0.3">
      <c r="L19" s="2" t="s">
        <v>14</v>
      </c>
      <c r="M19" s="2" t="s">
        <v>5</v>
      </c>
      <c r="N19" s="2" t="s">
        <v>6</v>
      </c>
      <c r="O19" s="2" t="s">
        <v>7</v>
      </c>
      <c r="P19" s="2" t="s">
        <v>8</v>
      </c>
    </row>
    <row r="20" spans="12:19" x14ac:dyDescent="0.3">
      <c r="L20" s="2" t="s">
        <v>1</v>
      </c>
      <c r="M20" s="2">
        <v>0</v>
      </c>
      <c r="N20" s="2">
        <v>0</v>
      </c>
      <c r="O20" s="2">
        <v>1</v>
      </c>
      <c r="P20" s="2">
        <v>0</v>
      </c>
      <c r="Q20" s="1">
        <f>SUM(M20:P20)</f>
        <v>1</v>
      </c>
      <c r="R20" s="1" t="s">
        <v>15</v>
      </c>
      <c r="S20" s="1">
        <v>1</v>
      </c>
    </row>
    <row r="21" spans="12:19" x14ac:dyDescent="0.3">
      <c r="L21" s="2" t="s">
        <v>2</v>
      </c>
      <c r="M21" s="2">
        <v>0</v>
      </c>
      <c r="N21" s="2">
        <v>1</v>
      </c>
      <c r="O21" s="2">
        <v>0</v>
      </c>
      <c r="P21" s="2">
        <v>0</v>
      </c>
      <c r="Q21" s="1">
        <f t="shared" ref="Q21:Q23" si="0">SUM(M21:P21)</f>
        <v>1</v>
      </c>
      <c r="R21" s="1" t="s">
        <v>15</v>
      </c>
      <c r="S21" s="1">
        <v>1</v>
      </c>
    </row>
    <row r="22" spans="12:19" x14ac:dyDescent="0.3">
      <c r="L22" s="2" t="s">
        <v>3</v>
      </c>
      <c r="M22" s="2">
        <v>0</v>
      </c>
      <c r="N22" s="2">
        <v>0</v>
      </c>
      <c r="O22" s="2">
        <v>0</v>
      </c>
      <c r="P22" s="2">
        <v>1</v>
      </c>
      <c r="Q22" s="1">
        <f t="shared" si="0"/>
        <v>1</v>
      </c>
      <c r="R22" s="1" t="s">
        <v>15</v>
      </c>
      <c r="S22" s="1">
        <v>1</v>
      </c>
    </row>
    <row r="23" spans="12:19" x14ac:dyDescent="0.3">
      <c r="L23" s="2" t="s">
        <v>4</v>
      </c>
      <c r="M23" s="2">
        <v>1</v>
      </c>
      <c r="N23" s="2">
        <v>0</v>
      </c>
      <c r="O23" s="2">
        <v>0</v>
      </c>
      <c r="P23" s="2">
        <v>0</v>
      </c>
      <c r="Q23" s="1">
        <f t="shared" si="0"/>
        <v>1</v>
      </c>
      <c r="R23" s="1" t="s">
        <v>15</v>
      </c>
      <c r="S23" s="1">
        <v>1</v>
      </c>
    </row>
    <row r="24" spans="12:19" x14ac:dyDescent="0.3">
      <c r="M24" s="1">
        <f>SUM(M20:M23)</f>
        <v>1</v>
      </c>
      <c r="N24" s="1">
        <f t="shared" ref="N24:P24" si="1">SUM(N20:N23)</f>
        <v>1</v>
      </c>
      <c r="O24" s="1">
        <f t="shared" si="1"/>
        <v>1</v>
      </c>
      <c r="P24" s="1">
        <f t="shared" si="1"/>
        <v>1</v>
      </c>
    </row>
    <row r="25" spans="12:19" x14ac:dyDescent="0.3">
      <c r="M25" s="1" t="s">
        <v>15</v>
      </c>
      <c r="N25" s="1" t="s">
        <v>15</v>
      </c>
      <c r="O25" s="1" t="s">
        <v>15</v>
      </c>
      <c r="P25" s="1" t="s">
        <v>15</v>
      </c>
    </row>
    <row r="26" spans="12:19" x14ac:dyDescent="0.3">
      <c r="M26" s="1">
        <v>1</v>
      </c>
      <c r="N26" s="1">
        <v>1</v>
      </c>
      <c r="O26" s="1">
        <v>1</v>
      </c>
      <c r="P26" s="1">
        <v>1</v>
      </c>
    </row>
    <row r="28" spans="12:19" x14ac:dyDescent="0.3">
      <c r="Q28" s="1" t="s">
        <v>16</v>
      </c>
      <c r="R28" s="1">
        <f>SUMPRODUCT(M20:P23,C3:F6)</f>
        <v>28</v>
      </c>
    </row>
  </sheetData>
  <phoneticPr fontId="1" type="noConversion"/>
  <conditionalFormatting sqref="E13">
    <cfRule type="cellIs" dxfId="5" priority="2" operator="greaterThan">
      <formula>0</formula>
    </cfRule>
  </conditionalFormatting>
  <conditionalFormatting sqref="L19:P23">
    <cfRule type="cellIs" dxfId="4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DFB69-5A21-4CD8-AB41-AFED9DF7DF54}">
  <dimension ref="C4:P35"/>
  <sheetViews>
    <sheetView topLeftCell="A13" workbookViewId="0">
      <selection activeCell="H33" sqref="H33"/>
    </sheetView>
  </sheetViews>
  <sheetFormatPr defaultRowHeight="14.4" x14ac:dyDescent="0.3"/>
  <sheetData>
    <row r="4" spans="3:16" x14ac:dyDescent="0.3">
      <c r="C4" s="5"/>
      <c r="D4" s="5" t="s">
        <v>5</v>
      </c>
      <c r="E4" s="5" t="s">
        <v>6</v>
      </c>
      <c r="F4" s="5" t="s">
        <v>7</v>
      </c>
      <c r="G4" s="5" t="s">
        <v>8</v>
      </c>
      <c r="H4" s="5" t="s">
        <v>18</v>
      </c>
    </row>
    <row r="5" spans="3:16" x14ac:dyDescent="0.3">
      <c r="C5" s="5" t="s">
        <v>1</v>
      </c>
      <c r="D5" s="5">
        <v>9</v>
      </c>
      <c r="E5" s="5">
        <v>14</v>
      </c>
      <c r="F5" s="5">
        <v>7</v>
      </c>
      <c r="G5" s="5">
        <v>11</v>
      </c>
      <c r="H5" s="5">
        <v>15</v>
      </c>
    </row>
    <row r="6" spans="3:16" x14ac:dyDescent="0.3">
      <c r="C6" s="5" t="s">
        <v>2</v>
      </c>
      <c r="D6" s="5">
        <v>12</v>
      </c>
      <c r="E6" s="5">
        <v>8</v>
      </c>
      <c r="F6" s="5">
        <v>13</v>
      </c>
      <c r="G6" s="5">
        <v>6</v>
      </c>
      <c r="H6" s="5">
        <v>10</v>
      </c>
    </row>
    <row r="7" spans="3:16" x14ac:dyDescent="0.3">
      <c r="C7" s="5" t="s">
        <v>3</v>
      </c>
      <c r="D7" s="5">
        <v>14</v>
      </c>
      <c r="E7" s="5">
        <v>11</v>
      </c>
      <c r="F7" s="5">
        <v>9</v>
      </c>
      <c r="G7" s="5">
        <v>7</v>
      </c>
      <c r="H7" s="5">
        <v>5</v>
      </c>
    </row>
    <row r="8" spans="3:16" x14ac:dyDescent="0.3">
      <c r="C8" s="5" t="s">
        <v>4</v>
      </c>
      <c r="D8" s="5">
        <v>8</v>
      </c>
      <c r="E8" s="5">
        <v>13</v>
      </c>
      <c r="F8" s="5">
        <v>12</v>
      </c>
      <c r="G8" s="5">
        <v>10</v>
      </c>
      <c r="H8" s="5">
        <v>7</v>
      </c>
    </row>
    <row r="9" spans="3:16" x14ac:dyDescent="0.3">
      <c r="C9" s="5" t="s">
        <v>17</v>
      </c>
      <c r="D9" s="5">
        <v>10</v>
      </c>
      <c r="E9" s="5">
        <v>6</v>
      </c>
      <c r="F9" s="5">
        <v>11</v>
      </c>
      <c r="G9" s="5">
        <v>9</v>
      </c>
      <c r="H9" s="5">
        <v>8</v>
      </c>
    </row>
    <row r="10" spans="3:16" x14ac:dyDescent="0.3">
      <c r="K10" t="s">
        <v>20</v>
      </c>
      <c r="L10" s="5" t="s">
        <v>5</v>
      </c>
      <c r="M10" s="5" t="s">
        <v>6</v>
      </c>
      <c r="N10" s="5" t="s">
        <v>7</v>
      </c>
      <c r="O10" s="5" t="s">
        <v>8</v>
      </c>
      <c r="P10" s="5" t="s">
        <v>18</v>
      </c>
    </row>
    <row r="11" spans="3:16" x14ac:dyDescent="0.3">
      <c r="K11" s="5" t="s">
        <v>1</v>
      </c>
      <c r="L11" s="5" t="s">
        <v>19</v>
      </c>
      <c r="M11" s="5"/>
      <c r="N11" s="5">
        <v>0</v>
      </c>
      <c r="O11" s="5"/>
      <c r="P11" s="5"/>
    </row>
    <row r="12" spans="3:16" x14ac:dyDescent="0.3">
      <c r="K12" s="5" t="s">
        <v>2</v>
      </c>
      <c r="L12" s="5"/>
      <c r="M12" s="5" t="s">
        <v>19</v>
      </c>
      <c r="N12" s="5"/>
      <c r="O12" s="5"/>
      <c r="P12" s="5"/>
    </row>
    <row r="13" spans="3:16" x14ac:dyDescent="0.3">
      <c r="K13" s="5" t="s">
        <v>3</v>
      </c>
      <c r="L13" s="5"/>
      <c r="M13" s="5"/>
      <c r="N13" s="5"/>
      <c r="O13" s="5"/>
      <c r="P13" s="5">
        <v>1</v>
      </c>
    </row>
    <row r="14" spans="3:16" x14ac:dyDescent="0.3">
      <c r="K14" s="5" t="s">
        <v>4</v>
      </c>
      <c r="L14" s="5" t="s">
        <v>19</v>
      </c>
      <c r="M14" s="5"/>
      <c r="N14" s="5"/>
      <c r="O14" s="5">
        <v>0</v>
      </c>
      <c r="P14" s="5"/>
    </row>
    <row r="15" spans="3:16" x14ac:dyDescent="0.3">
      <c r="K15" s="5" t="s">
        <v>17</v>
      </c>
      <c r="L15" s="5"/>
      <c r="M15" s="5" t="s">
        <v>19</v>
      </c>
      <c r="N15" s="5"/>
      <c r="O15" s="5"/>
      <c r="P15" s="5"/>
    </row>
    <row r="19" spans="6:15" x14ac:dyDescent="0.3">
      <c r="F19" t="s">
        <v>21</v>
      </c>
      <c r="G19" s="5" t="s">
        <v>5</v>
      </c>
      <c r="H19" s="5" t="s">
        <v>6</v>
      </c>
      <c r="I19" s="5" t="s">
        <v>7</v>
      </c>
      <c r="J19" s="5" t="s">
        <v>8</v>
      </c>
      <c r="K19" s="5" t="s">
        <v>18</v>
      </c>
    </row>
    <row r="20" spans="6:15" x14ac:dyDescent="0.3">
      <c r="F20" s="5" t="s">
        <v>1</v>
      </c>
      <c r="G20" s="5">
        <v>1</v>
      </c>
      <c r="H20" s="5">
        <v>0</v>
      </c>
      <c r="I20" s="5">
        <v>0</v>
      </c>
      <c r="J20" s="5">
        <v>0</v>
      </c>
      <c r="K20" s="5">
        <v>0</v>
      </c>
      <c r="L20">
        <f>SUM(G20:K20)</f>
        <v>1</v>
      </c>
      <c r="N20">
        <v>1</v>
      </c>
    </row>
    <row r="21" spans="6:15" x14ac:dyDescent="0.3">
      <c r="F21" s="5" t="s">
        <v>2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>
        <f t="shared" ref="L21:L24" si="0">SUM(G21:K21)</f>
        <v>1</v>
      </c>
      <c r="N21">
        <v>1</v>
      </c>
    </row>
    <row r="22" spans="6:15" x14ac:dyDescent="0.3">
      <c r="F22" s="5" t="s">
        <v>3</v>
      </c>
      <c r="G22" s="5">
        <v>0</v>
      </c>
      <c r="H22" s="5">
        <v>0</v>
      </c>
      <c r="I22" s="5">
        <v>0</v>
      </c>
      <c r="J22" s="5">
        <v>0</v>
      </c>
      <c r="K22" s="5">
        <v>1</v>
      </c>
      <c r="L22">
        <f t="shared" si="0"/>
        <v>1</v>
      </c>
      <c r="N22">
        <v>1</v>
      </c>
    </row>
    <row r="23" spans="6:15" x14ac:dyDescent="0.3">
      <c r="F23" s="5" t="s">
        <v>4</v>
      </c>
      <c r="G23" s="5">
        <v>0</v>
      </c>
      <c r="H23" s="5">
        <v>0</v>
      </c>
      <c r="I23" s="5">
        <v>1</v>
      </c>
      <c r="J23" s="5">
        <v>0</v>
      </c>
      <c r="K23" s="5">
        <v>0</v>
      </c>
      <c r="L23">
        <f t="shared" si="0"/>
        <v>1</v>
      </c>
      <c r="N23">
        <v>1</v>
      </c>
    </row>
    <row r="24" spans="6:15" x14ac:dyDescent="0.3">
      <c r="F24" s="5" t="s">
        <v>17</v>
      </c>
      <c r="G24" s="5">
        <v>0</v>
      </c>
      <c r="H24" s="5">
        <v>1</v>
      </c>
      <c r="I24" s="5">
        <v>0</v>
      </c>
      <c r="J24" s="5">
        <v>0</v>
      </c>
      <c r="K24" s="5">
        <v>0</v>
      </c>
      <c r="L24">
        <f t="shared" si="0"/>
        <v>1</v>
      </c>
      <c r="N24">
        <v>1</v>
      </c>
    </row>
    <row r="26" spans="6:15" x14ac:dyDescent="0.3">
      <c r="G26">
        <f>SUM(G20:G24)</f>
        <v>1</v>
      </c>
      <c r="H26">
        <f t="shared" ref="H26:K26" si="1">SUM(H20:H24)</f>
        <v>1</v>
      </c>
      <c r="I26">
        <f t="shared" si="1"/>
        <v>1</v>
      </c>
      <c r="J26">
        <f t="shared" si="1"/>
        <v>1</v>
      </c>
      <c r="K26">
        <f t="shared" si="1"/>
        <v>1</v>
      </c>
    </row>
    <row r="28" spans="6:15" x14ac:dyDescent="0.3">
      <c r="G28">
        <v>1</v>
      </c>
      <c r="H28">
        <v>1</v>
      </c>
      <c r="I28">
        <v>1</v>
      </c>
      <c r="J28">
        <v>1</v>
      </c>
      <c r="K28">
        <v>1</v>
      </c>
    </row>
    <row r="30" spans="6:15" x14ac:dyDescent="0.3">
      <c r="N30" t="s">
        <v>22</v>
      </c>
      <c r="O30">
        <f>SUMPRODUCT(G20:K24,D5:H9)</f>
        <v>38</v>
      </c>
    </row>
    <row r="31" spans="6:15" x14ac:dyDescent="0.3">
      <c r="H31">
        <f>G20+G23</f>
        <v>1</v>
      </c>
      <c r="J31">
        <v>1</v>
      </c>
    </row>
    <row r="32" spans="6:15" x14ac:dyDescent="0.3">
      <c r="H32">
        <f>H24+H21</f>
        <v>1</v>
      </c>
      <c r="J32">
        <v>1</v>
      </c>
    </row>
    <row r="33" spans="8:10" x14ac:dyDescent="0.3">
      <c r="H33">
        <f>SUM(I21:I24)</f>
        <v>1</v>
      </c>
      <c r="J33">
        <v>1</v>
      </c>
    </row>
    <row r="34" spans="8:10" x14ac:dyDescent="0.3">
      <c r="H34">
        <f>SUM(J24,J20:J22)</f>
        <v>1</v>
      </c>
      <c r="J34">
        <v>1</v>
      </c>
    </row>
    <row r="35" spans="8:10" x14ac:dyDescent="0.3">
      <c r="H35">
        <f>K22</f>
        <v>1</v>
      </c>
      <c r="J35"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F2D83-552A-4B9D-89B3-D8D6943BF893}">
  <dimension ref="A1:K15"/>
  <sheetViews>
    <sheetView showGridLines="0" tabSelected="1" topLeftCell="A12" zoomScale="157" workbookViewId="0">
      <selection activeCell="G22" sqref="G22"/>
    </sheetView>
  </sheetViews>
  <sheetFormatPr defaultRowHeight="14.4" x14ac:dyDescent="0.3"/>
  <cols>
    <col min="1" max="1" width="9.77734375" style="6" customWidth="1"/>
    <col min="2" max="5" width="5.77734375" style="6" customWidth="1"/>
    <col min="6" max="6" width="8.88671875" style="6"/>
    <col min="7" max="7" width="9.77734375" style="6" customWidth="1"/>
    <col min="8" max="11" width="5.77734375" style="6" customWidth="1"/>
    <col min="12" max="16384" width="8.88671875" style="6"/>
  </cols>
  <sheetData>
    <row r="1" spans="1:11" x14ac:dyDescent="0.3">
      <c r="A1" s="7" t="s">
        <v>23</v>
      </c>
      <c r="B1" s="8" t="s">
        <v>31</v>
      </c>
      <c r="C1" s="8" t="s">
        <v>32</v>
      </c>
      <c r="D1" s="8" t="s">
        <v>33</v>
      </c>
      <c r="E1" s="8" t="s">
        <v>34</v>
      </c>
      <c r="G1" s="7" t="s">
        <v>26</v>
      </c>
      <c r="H1" s="7" t="s">
        <v>35</v>
      </c>
      <c r="I1" s="7" t="s">
        <v>36</v>
      </c>
      <c r="J1" s="7" t="s">
        <v>37</v>
      </c>
      <c r="K1" s="7" t="s">
        <v>38</v>
      </c>
    </row>
    <row r="2" spans="1:11" x14ac:dyDescent="0.3">
      <c r="A2" s="7" t="s">
        <v>24</v>
      </c>
      <c r="B2" s="9">
        <v>26</v>
      </c>
      <c r="C2" s="9">
        <v>16</v>
      </c>
      <c r="D2" s="9">
        <v>27</v>
      </c>
      <c r="E2" s="9">
        <v>23</v>
      </c>
      <c r="G2" s="7" t="s">
        <v>24</v>
      </c>
      <c r="H2" s="9">
        <v>17</v>
      </c>
      <c r="I2" s="9">
        <v>35</v>
      </c>
      <c r="J2" s="9">
        <v>11</v>
      </c>
      <c r="K2" s="9">
        <v>29</v>
      </c>
    </row>
    <row r="3" spans="1:11" x14ac:dyDescent="0.3">
      <c r="A3" s="7" t="s">
        <v>25</v>
      </c>
      <c r="B3" s="9">
        <v>39</v>
      </c>
      <c r="C3" s="9">
        <v>47</v>
      </c>
      <c r="D3" s="9">
        <v>31</v>
      </c>
      <c r="E3" s="9">
        <v>30</v>
      </c>
      <c r="G3" s="7" t="s">
        <v>25</v>
      </c>
      <c r="H3" s="9">
        <v>27</v>
      </c>
      <c r="I3" s="9">
        <v>55</v>
      </c>
      <c r="J3" s="9">
        <v>28</v>
      </c>
      <c r="K3" s="9">
        <v>37</v>
      </c>
    </row>
    <row r="4" spans="1:11" x14ac:dyDescent="0.3">
      <c r="A4" s="7" t="s">
        <v>30</v>
      </c>
      <c r="B4" s="9">
        <v>21</v>
      </c>
      <c r="C4" s="9">
        <v>41</v>
      </c>
      <c r="D4" s="9">
        <v>19</v>
      </c>
      <c r="E4" s="9">
        <v>22</v>
      </c>
      <c r="G4" s="7" t="s">
        <v>30</v>
      </c>
      <c r="H4" s="9">
        <v>34</v>
      </c>
      <c r="I4" s="9">
        <v>31</v>
      </c>
      <c r="J4" s="9">
        <v>21</v>
      </c>
      <c r="K4" s="9">
        <v>17</v>
      </c>
    </row>
    <row r="5" spans="1:11" x14ac:dyDescent="0.3">
      <c r="A5" s="7" t="s">
        <v>27</v>
      </c>
      <c r="B5" s="9">
        <v>17</v>
      </c>
      <c r="C5" s="9">
        <v>27</v>
      </c>
      <c r="D5" s="9">
        <v>16</v>
      </c>
      <c r="E5" s="9">
        <v>37</v>
      </c>
      <c r="G5" s="7" t="s">
        <v>27</v>
      </c>
      <c r="H5" s="9">
        <v>23</v>
      </c>
      <c r="I5" s="9">
        <v>25</v>
      </c>
      <c r="J5" s="9">
        <v>27</v>
      </c>
      <c r="K5" s="9">
        <v>22</v>
      </c>
    </row>
    <row r="6" spans="1:11" x14ac:dyDescent="0.3">
      <c r="A6" s="7" t="s">
        <v>28</v>
      </c>
      <c r="B6" s="9">
        <v>44</v>
      </c>
      <c r="C6" s="9">
        <v>33</v>
      </c>
      <c r="D6" s="9">
        <v>24</v>
      </c>
      <c r="E6" s="9">
        <v>18</v>
      </c>
      <c r="G6" s="7" t="s">
        <v>28</v>
      </c>
      <c r="H6" s="9">
        <v>31</v>
      </c>
      <c r="I6" s="9">
        <v>29</v>
      </c>
      <c r="J6" s="9">
        <v>31</v>
      </c>
      <c r="K6" s="9">
        <v>28</v>
      </c>
    </row>
    <row r="7" spans="1:11" x14ac:dyDescent="0.3">
      <c r="A7" s="7" t="s">
        <v>29</v>
      </c>
      <c r="B7" s="9">
        <v>41</v>
      </c>
      <c r="C7" s="9">
        <v>13</v>
      </c>
      <c r="D7" s="9">
        <v>37</v>
      </c>
      <c r="E7" s="9">
        <v>37</v>
      </c>
      <c r="G7" s="7" t="s">
        <v>29</v>
      </c>
      <c r="H7" s="9">
        <v>20</v>
      </c>
      <c r="I7" s="9">
        <v>15</v>
      </c>
      <c r="J7" s="9">
        <v>41</v>
      </c>
      <c r="K7" s="9">
        <v>52</v>
      </c>
    </row>
    <row r="11" spans="1:11" ht="28.05" customHeight="1" x14ac:dyDescent="0.3">
      <c r="A11" s="7" t="s">
        <v>39</v>
      </c>
      <c r="B11" s="7" t="s">
        <v>35</v>
      </c>
      <c r="C11" s="7" t="s">
        <v>41</v>
      </c>
      <c r="D11" s="7" t="s">
        <v>42</v>
      </c>
      <c r="E11" s="7" t="s">
        <v>43</v>
      </c>
    </row>
    <row r="12" spans="1:11" x14ac:dyDescent="0.3">
      <c r="A12" s="10" t="s">
        <v>31</v>
      </c>
      <c r="B12" s="11">
        <v>33</v>
      </c>
      <c r="C12" s="11">
        <v>55</v>
      </c>
      <c r="D12" s="11">
        <v>65</v>
      </c>
      <c r="E12" s="11">
        <v>35</v>
      </c>
    </row>
    <row r="13" spans="1:11" x14ac:dyDescent="0.3">
      <c r="A13" s="10" t="s">
        <v>32</v>
      </c>
      <c r="B13" s="11">
        <v>33</v>
      </c>
      <c r="C13" s="11">
        <v>42</v>
      </c>
      <c r="D13" s="11">
        <v>49</v>
      </c>
      <c r="E13" s="11">
        <v>53</v>
      </c>
    </row>
    <row r="14" spans="1:11" x14ac:dyDescent="0.3">
      <c r="A14" s="10" t="s">
        <v>33</v>
      </c>
      <c r="B14" s="11">
        <v>53</v>
      </c>
      <c r="C14" s="11">
        <v>41</v>
      </c>
      <c r="D14" s="11">
        <v>25</v>
      </c>
      <c r="E14" s="11">
        <v>35</v>
      </c>
    </row>
    <row r="15" spans="1:11" x14ac:dyDescent="0.3">
      <c r="A15" s="10" t="s">
        <v>40</v>
      </c>
      <c r="B15" s="11">
        <v>33</v>
      </c>
      <c r="C15" s="11">
        <v>52</v>
      </c>
      <c r="D15" s="11">
        <v>20</v>
      </c>
      <c r="E15" s="11">
        <v>52</v>
      </c>
    </row>
  </sheetData>
  <conditionalFormatting sqref="B2:E7">
    <cfRule type="top10" dxfId="3" priority="4" rank="3"/>
  </conditionalFormatting>
  <conditionalFormatting sqref="B12:E15">
    <cfRule type="top10" dxfId="2" priority="1" rank="3"/>
    <cfRule type="top10" dxfId="1" priority="3" rank="3"/>
  </conditionalFormatting>
  <conditionalFormatting sqref="H2:K7">
    <cfRule type="top10" dxfId="0" priority="2" rank="3"/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 Kulkarni</dc:creator>
  <cp:lastModifiedBy>Rahul Kulkarni</cp:lastModifiedBy>
  <dcterms:created xsi:type="dcterms:W3CDTF">2026-08-22T06:57:22Z</dcterms:created>
  <dcterms:modified xsi:type="dcterms:W3CDTF">2026-08-25T08:40:18Z</dcterms:modified>
</cp:coreProperties>
</file>