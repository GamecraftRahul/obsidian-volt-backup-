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ocuments\Obsidian Vault\ISMS\PGDM FY ( TREAM 1)\business analysis\CLG source and practice\"/>
    </mc:Choice>
  </mc:AlternateContent>
  <xr:revisionPtr revIDLastSave="0" documentId="13_ncr:1_{CDABC197-5AB8-4803-947E-45CE2F816100}" xr6:coauthVersionLast="47" xr6:coauthVersionMax="47" xr10:uidLastSave="{00000000-0000-0000-0000-000000000000}"/>
  <bookViews>
    <workbookView xWindow="-108" yWindow="-108" windowWidth="23256" windowHeight="14616" activeTab="1" xr2:uid="{D4BA1260-F6EB-4B9C-963C-08C8BDFE7A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2" l="1"/>
  <c r="J44" i="2"/>
  <c r="E43" i="2"/>
  <c r="E44" i="2"/>
  <c r="E45" i="2"/>
  <c r="E46" i="2"/>
  <c r="E42" i="2"/>
  <c r="E41" i="2"/>
  <c r="B47" i="2"/>
  <c r="B42" i="2"/>
  <c r="B43" i="2"/>
  <c r="B44" i="2"/>
  <c r="B45" i="2"/>
  <c r="B46" i="2"/>
  <c r="B41" i="2"/>
  <c r="D47" i="2"/>
  <c r="N13" i="2"/>
  <c r="O12" i="2"/>
  <c r="N11" i="2"/>
  <c r="N12" i="2"/>
  <c r="J6" i="2"/>
  <c r="J7" i="2" s="1"/>
  <c r="M11" i="2"/>
  <c r="N8" i="2"/>
  <c r="O8" i="2" s="1"/>
  <c r="N9" i="2" s="1"/>
  <c r="I12" i="2"/>
  <c r="D12" i="2"/>
  <c r="D26" i="1"/>
  <c r="C26" i="1"/>
  <c r="D25" i="1"/>
  <c r="C25" i="1"/>
  <c r="D24" i="1"/>
  <c r="C24" i="1"/>
  <c r="D23" i="1"/>
  <c r="C23" i="1"/>
  <c r="D22" i="1"/>
  <c r="C22" i="1"/>
  <c r="B23" i="1"/>
  <c r="B24" i="1"/>
  <c r="B25" i="1"/>
  <c r="B26" i="1"/>
  <c r="B22" i="1"/>
  <c r="J8" i="2" l="1"/>
  <c r="J9" i="2" s="1"/>
  <c r="J10" i="2" s="1"/>
  <c r="J11" i="2" s="1"/>
  <c r="G8" i="2"/>
  <c r="G9" i="2"/>
  <c r="G10" i="2"/>
  <c r="G11" i="2"/>
  <c r="G6" i="2"/>
  <c r="G7" i="2"/>
  <c r="G12" i="2" l="1"/>
</calcChain>
</file>

<file path=xl/sharedStrings.xml><?xml version="1.0" encoding="utf-8"?>
<sst xmlns="http://schemas.openxmlformats.org/spreadsheetml/2006/main" count="61" uniqueCount="31">
  <si>
    <t>Runs</t>
  </si>
  <si>
    <t>Matches</t>
  </si>
  <si>
    <t xml:space="preserve">Kolhi </t>
  </si>
  <si>
    <t>Shewag</t>
  </si>
  <si>
    <t>Yuraj</t>
  </si>
  <si>
    <t>Dhoni</t>
  </si>
  <si>
    <t>Smith</t>
  </si>
  <si>
    <t>Deliveries Faced</t>
  </si>
  <si>
    <t>Strick Rate</t>
  </si>
  <si>
    <t xml:space="preserve"> </t>
  </si>
  <si>
    <t xml:space="preserve">source of Manufacturing Error </t>
  </si>
  <si>
    <t>bad weld</t>
  </si>
  <si>
    <t xml:space="preserve">poor alignment </t>
  </si>
  <si>
    <t>missing part</t>
  </si>
  <si>
    <t>paint flaw</t>
  </si>
  <si>
    <t>electrical short</t>
  </si>
  <si>
    <t>cracked case</t>
  </si>
  <si>
    <t>Number of defects</t>
  </si>
  <si>
    <t xml:space="preserve">Total </t>
  </si>
  <si>
    <t>cumulative deffects %</t>
  </si>
  <si>
    <t>% deffects</t>
  </si>
  <si>
    <t>pareto index</t>
  </si>
  <si>
    <t>causes</t>
  </si>
  <si>
    <t>effectes</t>
  </si>
  <si>
    <t>effects</t>
  </si>
  <si>
    <t>deffets</t>
  </si>
  <si>
    <t>no. deffects</t>
  </si>
  <si>
    <t xml:space="preserve">total </t>
  </si>
  <si>
    <t>perto index</t>
  </si>
  <si>
    <t>cause</t>
  </si>
  <si>
    <t>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</si>
</sst>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Sheet2!$H$6:$H$11</c:f>
              <c:strCache>
                <c:ptCount val="6"/>
                <c:pt idx="0">
                  <c:v>poor alignment </c:v>
                </c:pt>
                <c:pt idx="1">
                  <c:v>paint flaw</c:v>
                </c:pt>
                <c:pt idx="2">
                  <c:v>bad weld</c:v>
                </c:pt>
                <c:pt idx="3">
                  <c:v>missing part</c:v>
                </c:pt>
                <c:pt idx="4">
                  <c:v>cracked case</c:v>
                </c:pt>
                <c:pt idx="5">
                  <c:v>electrical short</c:v>
                </c:pt>
              </c:strCache>
            </c:strRef>
          </c:cat>
          <c:val>
            <c:numRef>
              <c:f>Sheet2!$I$6:$I$11</c:f>
              <c:numCache>
                <c:formatCode>General</c:formatCode>
                <c:ptCount val="6"/>
                <c:pt idx="0">
                  <c:v>223</c:v>
                </c:pt>
                <c:pt idx="1">
                  <c:v>78</c:v>
                </c:pt>
                <c:pt idx="2">
                  <c:v>34</c:v>
                </c:pt>
                <c:pt idx="3">
                  <c:v>25</c:v>
                </c:pt>
                <c:pt idx="4">
                  <c:v>21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0-4496-9B41-C95FC8622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51494880"/>
        <c:axId val="2008854063"/>
      </c:barChart>
      <c:lineChart>
        <c:grouping val="standard"/>
        <c:varyColors val="0"/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Sheet2!$H$6:$H$11</c:f>
              <c:strCache>
                <c:ptCount val="6"/>
                <c:pt idx="0">
                  <c:v>poor alignment </c:v>
                </c:pt>
                <c:pt idx="1">
                  <c:v>paint flaw</c:v>
                </c:pt>
                <c:pt idx="2">
                  <c:v>bad weld</c:v>
                </c:pt>
                <c:pt idx="3">
                  <c:v>missing part</c:v>
                </c:pt>
                <c:pt idx="4">
                  <c:v>cracked case</c:v>
                </c:pt>
                <c:pt idx="5">
                  <c:v>electrical short</c:v>
                </c:pt>
              </c:strCache>
            </c:strRef>
          </c:cat>
          <c:val>
            <c:numRef>
              <c:f>Sheet2!$J$6:$J$11</c:f>
              <c:numCache>
                <c:formatCode>0%</c:formatCode>
                <c:ptCount val="6"/>
                <c:pt idx="0">
                  <c:v>0.5575</c:v>
                </c:pt>
                <c:pt idx="1">
                  <c:v>0.75249999999999995</c:v>
                </c:pt>
                <c:pt idx="2">
                  <c:v>0.83749999999999991</c:v>
                </c:pt>
                <c:pt idx="3">
                  <c:v>0.89999999999999991</c:v>
                </c:pt>
                <c:pt idx="4">
                  <c:v>0.9524999999999999</c:v>
                </c:pt>
                <c:pt idx="5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0-4496-9B41-C95FC8622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502304"/>
        <c:axId val="2008873263"/>
      </c:lineChart>
      <c:catAx>
        <c:axId val="5149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854063"/>
        <c:crosses val="autoZero"/>
        <c:auto val="1"/>
        <c:lblAlgn val="ctr"/>
        <c:lblOffset val="100"/>
        <c:noMultiLvlLbl val="0"/>
      </c:catAx>
      <c:valAx>
        <c:axId val="200885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4880"/>
        <c:crosses val="autoZero"/>
        <c:crossBetween val="between"/>
      </c:valAx>
      <c:valAx>
        <c:axId val="200887326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2304"/>
        <c:crosses val="max"/>
        <c:crossBetween val="between"/>
      </c:valAx>
      <c:catAx>
        <c:axId val="51502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8873263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551648</xdr:colOff>
          <xdr:row>5</xdr:row>
          <xdr:rowOff>173424</xdr:rowOff>
        </xdr:from>
        <xdr:to>
          <xdr:col>19</xdr:col>
          <xdr:colOff>257674</xdr:colOff>
          <xdr:row>26</xdr:row>
          <xdr:rowOff>73695</xdr:rowOff>
        </xdr:to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8D1DD54E-36ED-56A8-05F8-4389B8587116}"/>
                </a:ext>
              </a:extLst>
            </xdr:cNvPr>
            <xdr:cNvGrpSpPr/>
          </xdr:nvGrpSpPr>
          <xdr:grpSpPr>
            <a:xfrm>
              <a:off x="6655424" y="1067608"/>
              <a:ext cx="5164434" cy="3655842"/>
              <a:chOff x="7922832" y="1845159"/>
              <a:chExt cx="5164434" cy="3655842"/>
            </a:xfrm>
          </xdr:grpSpPr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5DEEA2BD-513F-1F3B-2774-EB2AB13DE98D}"/>
                  </a:ext>
                </a:extLst>
              </xdr:cNvPr>
              <xdr:cNvGrpSpPr/>
            </xdr:nvGrpSpPr>
            <xdr:grpSpPr>
              <a:xfrm rot="727004">
                <a:off x="7922832" y="3800560"/>
                <a:ext cx="5164434" cy="1700441"/>
                <a:chOff x="8172061" y="2884714"/>
                <a:chExt cx="4221168" cy="1313906"/>
              </a:xfrm>
            </xdr:grpSpPr>
            <xdr:pic>
              <xdr:nvPicPr>
                <xdr:cNvPr id="3" name="Picture 2">
                  <a:extLst>
                    <a:ext uri="{FF2B5EF4-FFF2-40B4-BE49-F238E27FC236}">
                      <a16:creationId xmlns:a16="http://schemas.microsoft.com/office/drawing/2014/main" id="{534A396A-D384-E837-429B-278561554427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A$1:$D$7" spid="_x0000_s1150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9921550" y="2884714"/>
                  <a:ext cx="2471679" cy="1313906"/>
                </a:xfrm>
                <a:prstGeom prst="rect">
                  <a:avLst/>
                </a:prstGeom>
                <a:noFill/>
                <a:scene3d>
                  <a:camera prst="isometricRightUp"/>
                  <a:lightRig rig="threePt" dir="t"/>
                </a:scene3d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  <xdr:pic>
              <xdr:nvPicPr>
                <xdr:cNvPr id="6" name="Picture 5">
                  <a:extLst>
                    <a:ext uri="{FF2B5EF4-FFF2-40B4-BE49-F238E27FC236}">
                      <a16:creationId xmlns:a16="http://schemas.microsoft.com/office/drawing/2014/main" id="{16C6D379-C74C-15ED-4CA3-761145395635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A$12:$D$18" spid="_x0000_s1151"/>
                    </a:ext>
                  </a:extLst>
                </xdr:cNvPicPr>
              </xdr:nvPicPr>
              <xdr:blipFill>
                <a:blip xmlns:r="http://schemas.openxmlformats.org/officeDocument/2006/relationships" r:embed="rId2"/>
                <a:srcRect/>
                <a:stretch>
                  <a:fillRect/>
                </a:stretch>
              </xdr:blipFill>
              <xdr:spPr bwMode="auto">
                <a:xfrm>
                  <a:off x="8172061" y="2884714"/>
                  <a:ext cx="2472457" cy="1313905"/>
                </a:xfrm>
                <a:prstGeom prst="rect">
                  <a:avLst/>
                </a:prstGeom>
                <a:noFill/>
                <a:scene3d>
                  <a:camera prst="isometricLeftDown"/>
                  <a:lightRig rig="threePt" dir="t"/>
                </a:scene3d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xdr:grpSp>
          <mc:AlternateContent>
            <mc:Choice Requires="a14">
              <xdr:pic>
                <xdr:nvPicPr>
                  <xdr:cNvPr id="8" name="Picture 7">
                    <a:extLst>
                      <a:ext uri="{FF2B5EF4-FFF2-40B4-BE49-F238E27FC236}">
                        <a16:creationId xmlns:a16="http://schemas.microsoft.com/office/drawing/2014/main" id="{07EF0950-DFEA-0E80-FD23-03CB7F2FD5D1}"/>
                      </a:ext>
                    </a:extLst>
                  </xdr:cNvPr>
                  <xdr:cNvPicPr preferRelativeResize="0">
                    <a:picLocks noChangeArrowheads="1"/>
                    <a:extLst>
                      <a:ext uri="{84589F7E-364E-4C9E-8A38-B11213B215E9}">
                        <a14:cameraTool cellRange="$A$20:$D$26" spid="_x0000_s1152"/>
                      </a:ext>
                    </a:extLst>
                  </xdr:cNvPicPr>
                </xdr:nvPicPr>
                <xdr:blipFill>
                  <a:blip xmlns:r="http://schemas.openxmlformats.org/officeDocument/2006/relationships" r:embed="rId3"/>
                  <a:srcRect/>
                  <a:stretch>
                    <a:fillRect/>
                  </a:stretch>
                </xdr:blipFill>
                <xdr:spPr bwMode="auto">
                  <a:xfrm rot="727004">
                    <a:off x="9262642" y="1845159"/>
                    <a:ext cx="3024954" cy="3060000"/>
                  </a:xfrm>
                  <a:prstGeom prst="rect">
                    <a:avLst/>
                  </a:prstGeom>
                  <a:noFill/>
                  <a:scene3d>
                    <a:camera prst="isometricTopUp"/>
                    <a:lightRig rig="threePt" dir="t"/>
                  </a:scene3d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</a:extLst>
                </xdr:spPr>
              </xdr:pic>
            </mc:Choice>
            <mc:Fallback xmlns=""/>
          </mc:AlternateContent>
        </xdr:grpSp>
        <xdr:clientData/>
      </xdr:twoCellAnchor>
    </mc:Choice>
    <mc:Fallback/>
  </mc:AlternateContent>
  <xdr:twoCellAnchor editAs="oneCell">
    <xdr:from>
      <xdr:col>15</xdr:col>
      <xdr:colOff>167640</xdr:colOff>
      <xdr:row>15</xdr:row>
      <xdr:rowOff>68580</xdr:rowOff>
    </xdr:from>
    <xdr:to>
      <xdr:col>19</xdr:col>
      <xdr:colOff>198120</xdr:colOff>
      <xdr:row>22</xdr:row>
      <xdr:rowOff>160020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4DDB5A8D-8316-18D3-304A-79A94016B290}"/>
            </a:ext>
          </a:extLst>
        </xdr:cNvPr>
        <xdr:cNvSpPr>
          <a:spLocks noChangeAspect="1" noChangeArrowheads="1"/>
        </xdr:cNvSpPr>
      </xdr:nvSpPr>
      <xdr:spPr bwMode="auto">
        <a:xfrm>
          <a:off x="9349740" y="2697480"/>
          <a:ext cx="2468880" cy="131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452175</xdr:colOff>
      <xdr:row>17</xdr:row>
      <xdr:rowOff>175846</xdr:rowOff>
    </xdr:from>
    <xdr:to>
      <xdr:col>9</xdr:col>
      <xdr:colOff>372626</xdr:colOff>
      <xdr:row>33</xdr:row>
      <xdr:rowOff>172074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B5AD6C-6BA1-71DC-C258-0145DD6FB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9A7A-D9EC-4AB6-8426-B3C3E9335037}">
  <dimension ref="A1:D26"/>
  <sheetViews>
    <sheetView showGridLines="0" zoomScale="98" workbookViewId="0">
      <selection activeCell="W20" sqref="W20"/>
    </sheetView>
  </sheetViews>
  <sheetFormatPr defaultRowHeight="13.8" x14ac:dyDescent="0.3"/>
  <cols>
    <col min="1" max="1" width="9.77734375" style="2" customWidth="1"/>
    <col min="2" max="4" width="8.77734375" style="2" customWidth="1"/>
    <col min="5" max="16384" width="8.88671875" style="2"/>
  </cols>
  <sheetData>
    <row r="1" spans="1:4" x14ac:dyDescent="0.3">
      <c r="A1" s="1"/>
      <c r="B1" s="6" t="s">
        <v>0</v>
      </c>
      <c r="C1" s="6"/>
      <c r="D1" s="6"/>
    </row>
    <row r="2" spans="1:4" x14ac:dyDescent="0.3">
      <c r="A2" s="3" t="s">
        <v>1</v>
      </c>
      <c r="B2" s="4">
        <v>1</v>
      </c>
      <c r="C2" s="4">
        <v>2</v>
      </c>
      <c r="D2" s="4">
        <v>3</v>
      </c>
    </row>
    <row r="3" spans="1:4" x14ac:dyDescent="0.3">
      <c r="A3" s="3" t="s">
        <v>2</v>
      </c>
      <c r="B3" s="1">
        <v>12</v>
      </c>
      <c r="C3" s="1">
        <v>20</v>
      </c>
      <c r="D3" s="1">
        <v>55</v>
      </c>
    </row>
    <row r="4" spans="1:4" x14ac:dyDescent="0.3">
      <c r="A4" s="3" t="s">
        <v>3</v>
      </c>
      <c r="B4" s="1">
        <v>12</v>
      </c>
      <c r="C4" s="1">
        <v>25</v>
      </c>
      <c r="D4" s="1">
        <v>65</v>
      </c>
    </row>
    <row r="5" spans="1:4" x14ac:dyDescent="0.3">
      <c r="A5" s="3" t="s">
        <v>4</v>
      </c>
      <c r="B5" s="1">
        <v>43</v>
      </c>
      <c r="C5" s="1">
        <v>15</v>
      </c>
      <c r="D5" s="1">
        <v>27</v>
      </c>
    </row>
    <row r="6" spans="1:4" x14ac:dyDescent="0.3">
      <c r="A6" s="3" t="s">
        <v>5</v>
      </c>
      <c r="B6" s="1">
        <v>50</v>
      </c>
      <c r="C6" s="1">
        <v>74</v>
      </c>
      <c r="D6" s="1">
        <v>12</v>
      </c>
    </row>
    <row r="7" spans="1:4" x14ac:dyDescent="0.3">
      <c r="A7" s="3" t="s">
        <v>6</v>
      </c>
      <c r="B7" s="1">
        <v>22</v>
      </c>
      <c r="C7" s="1">
        <v>14</v>
      </c>
      <c r="D7" s="1">
        <v>30</v>
      </c>
    </row>
    <row r="12" spans="1:4" x14ac:dyDescent="0.3">
      <c r="A12" s="1"/>
      <c r="B12" s="7" t="s">
        <v>7</v>
      </c>
      <c r="C12" s="8"/>
      <c r="D12" s="9"/>
    </row>
    <row r="13" spans="1:4" x14ac:dyDescent="0.3">
      <c r="A13" s="3" t="s">
        <v>1</v>
      </c>
      <c r="B13" s="4">
        <v>1</v>
      </c>
      <c r="C13" s="4">
        <v>2</v>
      </c>
      <c r="D13" s="4">
        <v>3</v>
      </c>
    </row>
    <row r="14" spans="1:4" x14ac:dyDescent="0.3">
      <c r="A14" s="3" t="s">
        <v>2</v>
      </c>
      <c r="B14" s="1">
        <v>15</v>
      </c>
      <c r="C14" s="1">
        <v>30</v>
      </c>
      <c r="D14" s="1">
        <v>18</v>
      </c>
    </row>
    <row r="15" spans="1:4" x14ac:dyDescent="0.3">
      <c r="A15" s="3" t="s">
        <v>3</v>
      </c>
      <c r="B15" s="1">
        <v>14</v>
      </c>
      <c r="C15" s="1">
        <v>15</v>
      </c>
      <c r="D15" s="1">
        <v>18</v>
      </c>
    </row>
    <row r="16" spans="1:4" x14ac:dyDescent="0.3">
      <c r="A16" s="3" t="s">
        <v>4</v>
      </c>
      <c r="B16" s="1">
        <v>22</v>
      </c>
      <c r="C16" s="1">
        <v>30</v>
      </c>
      <c r="D16" s="1">
        <v>27</v>
      </c>
    </row>
    <row r="17" spans="1:4" x14ac:dyDescent="0.3">
      <c r="A17" s="3" t="s">
        <v>5</v>
      </c>
      <c r="B17" s="1">
        <v>27</v>
      </c>
      <c r="C17" s="1">
        <v>17</v>
      </c>
      <c r="D17" s="1">
        <v>14</v>
      </c>
    </row>
    <row r="18" spans="1:4" x14ac:dyDescent="0.3">
      <c r="A18" s="3" t="s">
        <v>6</v>
      </c>
      <c r="B18" s="1">
        <v>28</v>
      </c>
      <c r="C18" s="1">
        <v>17</v>
      </c>
      <c r="D18" s="1">
        <v>22</v>
      </c>
    </row>
    <row r="20" spans="1:4" x14ac:dyDescent="0.3">
      <c r="A20" s="1"/>
      <c r="B20" s="7" t="s">
        <v>8</v>
      </c>
      <c r="C20" s="8"/>
      <c r="D20" s="9"/>
    </row>
    <row r="21" spans="1:4" x14ac:dyDescent="0.3">
      <c r="A21" s="3" t="s">
        <v>1</v>
      </c>
      <c r="B21" s="4">
        <v>1</v>
      </c>
      <c r="C21" s="4">
        <v>2</v>
      </c>
      <c r="D21" s="4">
        <v>3</v>
      </c>
    </row>
    <row r="22" spans="1:4" x14ac:dyDescent="0.3">
      <c r="A22" s="3" t="s">
        <v>2</v>
      </c>
      <c r="B22" s="1">
        <f t="shared" ref="B22:D26" si="0">(B3/B14)*100</f>
        <v>80</v>
      </c>
      <c r="C22" s="5">
        <f t="shared" si="0"/>
        <v>66.666666666666657</v>
      </c>
      <c r="D22" s="5">
        <f t="shared" si="0"/>
        <v>305.55555555555554</v>
      </c>
    </row>
    <row r="23" spans="1:4" x14ac:dyDescent="0.3">
      <c r="A23" s="3" t="s">
        <v>3</v>
      </c>
      <c r="B23" s="5">
        <f t="shared" si="0"/>
        <v>85.714285714285708</v>
      </c>
      <c r="C23" s="5">
        <f t="shared" si="0"/>
        <v>166.66666666666669</v>
      </c>
      <c r="D23" s="5">
        <f t="shared" si="0"/>
        <v>361.11111111111114</v>
      </c>
    </row>
    <row r="24" spans="1:4" x14ac:dyDescent="0.3">
      <c r="A24" s="3" t="s">
        <v>4</v>
      </c>
      <c r="B24" s="5">
        <f t="shared" si="0"/>
        <v>195.45454545454547</v>
      </c>
      <c r="C24" s="1">
        <f t="shared" si="0"/>
        <v>50</v>
      </c>
      <c r="D24" s="1">
        <f t="shared" si="0"/>
        <v>100</v>
      </c>
    </row>
    <row r="25" spans="1:4" x14ac:dyDescent="0.3">
      <c r="A25" s="3" t="s">
        <v>5</v>
      </c>
      <c r="B25" s="5">
        <f t="shared" si="0"/>
        <v>185.18518518518519</v>
      </c>
      <c r="C25" s="5">
        <f t="shared" si="0"/>
        <v>435.29411764705878</v>
      </c>
      <c r="D25" s="5">
        <f t="shared" si="0"/>
        <v>85.714285714285708</v>
      </c>
    </row>
    <row r="26" spans="1:4" x14ac:dyDescent="0.3">
      <c r="A26" s="3" t="s">
        <v>6</v>
      </c>
      <c r="B26" s="5">
        <f t="shared" si="0"/>
        <v>78.571428571428569</v>
      </c>
      <c r="C26" s="5">
        <f t="shared" si="0"/>
        <v>82.35294117647058</v>
      </c>
      <c r="D26" s="5">
        <f t="shared" si="0"/>
        <v>136.36363636363635</v>
      </c>
    </row>
  </sheetData>
  <mergeCells count="3">
    <mergeCell ref="B1:D1"/>
    <mergeCell ref="B12:D12"/>
    <mergeCell ref="B20:D2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9D02-A86E-4999-BE4D-8272C4720754}">
  <dimension ref="A2:O47"/>
  <sheetViews>
    <sheetView tabSelected="1" topLeftCell="A34" zoomScaleNormal="100" workbookViewId="0">
      <selection activeCell="J49" sqref="J49"/>
    </sheetView>
  </sheetViews>
  <sheetFormatPr defaultRowHeight="14.4" x14ac:dyDescent="0.3"/>
  <cols>
    <col min="3" max="3" width="25.44140625" bestFit="1" customWidth="1"/>
    <col min="4" max="4" width="15.88671875" bestFit="1" customWidth="1"/>
    <col min="7" max="7" width="9.44140625" bestFit="1" customWidth="1"/>
    <col min="8" max="8" width="25.44140625" bestFit="1" customWidth="1"/>
    <col min="9" max="9" width="15.88671875" bestFit="1" customWidth="1"/>
    <col min="10" max="10" width="18.77734375" bestFit="1" customWidth="1"/>
    <col min="13" max="13" width="10.77734375" bestFit="1" customWidth="1"/>
    <col min="14" max="14" width="7.5546875" bestFit="1" customWidth="1"/>
  </cols>
  <sheetData>
    <row r="2" spans="1:15" x14ac:dyDescent="0.3">
      <c r="A2" t="s">
        <v>9</v>
      </c>
    </row>
    <row r="4" spans="1:15" ht="15" thickBot="1" x14ac:dyDescent="0.35"/>
    <row r="5" spans="1:15" x14ac:dyDescent="0.3">
      <c r="C5" s="12" t="s">
        <v>10</v>
      </c>
      <c r="D5" s="12" t="s">
        <v>17</v>
      </c>
      <c r="G5" s="10" t="s">
        <v>20</v>
      </c>
      <c r="H5" s="12" t="s">
        <v>10</v>
      </c>
      <c r="I5" s="12" t="s">
        <v>17</v>
      </c>
      <c r="J5" s="10" t="s">
        <v>19</v>
      </c>
      <c r="M5" s="19" t="s">
        <v>21</v>
      </c>
      <c r="N5" s="20"/>
    </row>
    <row r="6" spans="1:15" x14ac:dyDescent="0.3">
      <c r="C6" s="13" t="s">
        <v>11</v>
      </c>
      <c r="D6" s="13">
        <v>34</v>
      </c>
      <c r="F6">
        <v>1</v>
      </c>
      <c r="G6" s="10">
        <f>+I6/$I$12</f>
        <v>0.5575</v>
      </c>
      <c r="H6" s="13" t="s">
        <v>12</v>
      </c>
      <c r="I6" s="13">
        <v>223</v>
      </c>
      <c r="J6" s="14">
        <f>I6/I12</f>
        <v>0.5575</v>
      </c>
      <c r="M6" s="15" t="s">
        <v>22</v>
      </c>
      <c r="N6" s="16" t="s">
        <v>23</v>
      </c>
    </row>
    <row r="7" spans="1:15" ht="15" thickBot="1" x14ac:dyDescent="0.35">
      <c r="C7" s="13" t="s">
        <v>12</v>
      </c>
      <c r="D7" s="13">
        <v>223</v>
      </c>
      <c r="F7">
        <v>2</v>
      </c>
      <c r="G7" s="10">
        <f t="shared" ref="G7:G11" si="0">+I7/$I$12</f>
        <v>0.19500000000000001</v>
      </c>
      <c r="H7" s="13" t="s">
        <v>14</v>
      </c>
      <c r="I7" s="13">
        <v>78</v>
      </c>
      <c r="J7" s="14">
        <f>J6+G7</f>
        <v>0.75249999999999995</v>
      </c>
      <c r="M7" s="17">
        <v>0.2</v>
      </c>
      <c r="N7" s="18">
        <v>0.8</v>
      </c>
    </row>
    <row r="8" spans="1:15" x14ac:dyDescent="0.3">
      <c r="C8" s="13" t="s">
        <v>13</v>
      </c>
      <c r="D8" s="13">
        <v>25</v>
      </c>
      <c r="F8">
        <v>3</v>
      </c>
      <c r="G8" s="10">
        <f t="shared" si="0"/>
        <v>8.5000000000000006E-2</v>
      </c>
      <c r="H8" s="13" t="s">
        <v>11</v>
      </c>
      <c r="I8" s="13">
        <v>34</v>
      </c>
      <c r="J8" s="14">
        <f t="shared" ref="J8:J11" si="1">J7+G8</f>
        <v>0.83749999999999991</v>
      </c>
      <c r="M8">
        <v>1</v>
      </c>
      <c r="N8">
        <f>N7/M7</f>
        <v>4</v>
      </c>
      <c r="O8">
        <f>M8+N8</f>
        <v>5</v>
      </c>
    </row>
    <row r="9" spans="1:15" x14ac:dyDescent="0.3">
      <c r="C9" s="13" t="s">
        <v>14</v>
      </c>
      <c r="D9" s="13">
        <v>78</v>
      </c>
      <c r="F9">
        <v>4</v>
      </c>
      <c r="G9" s="10">
        <f t="shared" si="0"/>
        <v>6.25E-2</v>
      </c>
      <c r="H9" s="13" t="s">
        <v>13</v>
      </c>
      <c r="I9" s="13">
        <v>25</v>
      </c>
      <c r="J9" s="14">
        <f t="shared" si="1"/>
        <v>0.89999999999999991</v>
      </c>
      <c r="M9" t="s">
        <v>21</v>
      </c>
      <c r="N9">
        <f>LOG(O8)/LOG(N8)</f>
        <v>1.1609640474436813</v>
      </c>
    </row>
    <row r="10" spans="1:15" x14ac:dyDescent="0.3">
      <c r="C10" s="13" t="s">
        <v>15</v>
      </c>
      <c r="D10" s="13">
        <v>19</v>
      </c>
      <c r="F10">
        <v>5</v>
      </c>
      <c r="G10" s="10">
        <f t="shared" si="0"/>
        <v>5.2499999999999998E-2</v>
      </c>
      <c r="H10" s="13" t="s">
        <v>16</v>
      </c>
      <c r="I10" s="13">
        <v>21</v>
      </c>
      <c r="J10" s="14">
        <f t="shared" si="1"/>
        <v>0.9524999999999999</v>
      </c>
      <c r="M10" t="s">
        <v>22</v>
      </c>
      <c r="N10" t="s">
        <v>24</v>
      </c>
    </row>
    <row r="11" spans="1:15" x14ac:dyDescent="0.3">
      <c r="C11" s="13" t="s">
        <v>16</v>
      </c>
      <c r="D11" s="13">
        <v>21</v>
      </c>
      <c r="F11">
        <v>6</v>
      </c>
      <c r="G11" s="10">
        <f t="shared" si="0"/>
        <v>4.7500000000000001E-2</v>
      </c>
      <c r="H11" s="13" t="s">
        <v>15</v>
      </c>
      <c r="I11" s="13">
        <v>19</v>
      </c>
      <c r="J11" s="14">
        <f t="shared" si="1"/>
        <v>0.99999999999999989</v>
      </c>
      <c r="M11">
        <f>F7/F11</f>
        <v>0.33333333333333331</v>
      </c>
      <c r="N11" s="21">
        <f>+J7</f>
        <v>0.75249999999999995</v>
      </c>
    </row>
    <row r="12" spans="1:15" x14ac:dyDescent="0.3">
      <c r="C12" s="12" t="s">
        <v>18</v>
      </c>
      <c r="D12" s="12">
        <f>SUM(D6:D11)</f>
        <v>400</v>
      </c>
      <c r="G12" s="10">
        <f>SUM(G6:G11)</f>
        <v>0.99999999999999989</v>
      </c>
      <c r="H12" s="12" t="s">
        <v>18</v>
      </c>
      <c r="I12" s="12">
        <f>SUM(I6:I11)</f>
        <v>400</v>
      </c>
      <c r="J12" s="10"/>
      <c r="M12">
        <v>1</v>
      </c>
      <c r="N12">
        <f>N11/M11</f>
        <v>2.2574999999999998</v>
      </c>
      <c r="O12">
        <f>SUM(M12:N12)</f>
        <v>3.2574999999999998</v>
      </c>
    </row>
    <row r="13" spans="1:15" x14ac:dyDescent="0.3">
      <c r="M13" t="s">
        <v>21</v>
      </c>
      <c r="N13">
        <f>LOG(O12)/LOG(N12)</f>
        <v>1.4503511428399753</v>
      </c>
    </row>
    <row r="40" spans="1:11" x14ac:dyDescent="0.3">
      <c r="C40" s="11" t="s">
        <v>25</v>
      </c>
      <c r="D40" s="11" t="s">
        <v>26</v>
      </c>
    </row>
    <row r="41" spans="1:11" x14ac:dyDescent="0.3">
      <c r="A41">
        <v>1</v>
      </c>
      <c r="B41">
        <f>D41/$D$47</f>
        <v>0.75</v>
      </c>
      <c r="C41" s="10" t="s">
        <v>12</v>
      </c>
      <c r="D41" s="10">
        <v>300</v>
      </c>
      <c r="E41" s="21">
        <f>B41</f>
        <v>0.75</v>
      </c>
      <c r="I41" t="s">
        <v>28</v>
      </c>
    </row>
    <row r="42" spans="1:11" x14ac:dyDescent="0.3">
      <c r="A42">
        <v>2</v>
      </c>
      <c r="B42">
        <f t="shared" ref="B42:B46" si="2">D42/$D$47</f>
        <v>0.16250000000000001</v>
      </c>
      <c r="C42" s="10" t="s">
        <v>14</v>
      </c>
      <c r="D42" s="10">
        <v>65</v>
      </c>
      <c r="E42" s="21">
        <f>E41+B42</f>
        <v>0.91249999999999998</v>
      </c>
      <c r="I42" t="s">
        <v>29</v>
      </c>
      <c r="J42" t="s">
        <v>30</v>
      </c>
    </row>
    <row r="43" spans="1:11" x14ac:dyDescent="0.3">
      <c r="A43">
        <v>3</v>
      </c>
      <c r="B43">
        <f t="shared" si="2"/>
        <v>6.25E-2</v>
      </c>
      <c r="C43" s="10" t="s">
        <v>11</v>
      </c>
      <c r="D43" s="10">
        <v>25</v>
      </c>
      <c r="E43" s="21">
        <f t="shared" ref="E43:E46" si="3">E42+B43</f>
        <v>0.97499999999999998</v>
      </c>
      <c r="I43">
        <v>0.2</v>
      </c>
      <c r="J43">
        <v>0.8</v>
      </c>
    </row>
    <row r="44" spans="1:11" x14ac:dyDescent="0.3">
      <c r="A44">
        <v>4</v>
      </c>
      <c r="B44">
        <f t="shared" si="2"/>
        <v>1.4999999999999999E-2</v>
      </c>
      <c r="C44" s="10" t="s">
        <v>13</v>
      </c>
      <c r="D44" s="10">
        <v>6</v>
      </c>
      <c r="E44" s="21">
        <f t="shared" si="3"/>
        <v>0.99</v>
      </c>
      <c r="I44">
        <v>1</v>
      </c>
      <c r="J44">
        <f>J43/I43</f>
        <v>4</v>
      </c>
      <c r="K44">
        <f>J44+I44</f>
        <v>5</v>
      </c>
    </row>
    <row r="45" spans="1:11" x14ac:dyDescent="0.3">
      <c r="A45">
        <v>5</v>
      </c>
      <c r="B45">
        <f t="shared" si="2"/>
        <v>7.4999999999999997E-3</v>
      </c>
      <c r="C45" s="10" t="s">
        <v>16</v>
      </c>
      <c r="D45" s="10">
        <v>3</v>
      </c>
      <c r="E45" s="21">
        <f t="shared" si="3"/>
        <v>0.99749999999999994</v>
      </c>
    </row>
    <row r="46" spans="1:11" x14ac:dyDescent="0.3">
      <c r="A46">
        <v>6</v>
      </c>
      <c r="B46">
        <f t="shared" si="2"/>
        <v>2.5000000000000001E-3</v>
      </c>
      <c r="C46" s="10" t="s">
        <v>15</v>
      </c>
      <c r="D46" s="10">
        <v>1</v>
      </c>
      <c r="E46" s="21">
        <f t="shared" si="3"/>
        <v>0.99999999999999989</v>
      </c>
    </row>
    <row r="47" spans="1:11" x14ac:dyDescent="0.3">
      <c r="B47">
        <f>SUM(B41:B46)</f>
        <v>0.99999999999999989</v>
      </c>
      <c r="C47" s="10" t="s">
        <v>27</v>
      </c>
      <c r="D47" s="10">
        <f>SUM(D41:D46)</f>
        <v>400</v>
      </c>
    </row>
  </sheetData>
  <sortState xmlns:xlrd2="http://schemas.microsoft.com/office/spreadsheetml/2017/richdata2" ref="H6:I11">
    <sortCondition descending="1" ref="I6:I11"/>
  </sortState>
  <mergeCells count="1">
    <mergeCell ref="M5:N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A32CBE-7C26-4D32-99BB-1279DB7FEF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Kulkarni</dc:creator>
  <cp:lastModifiedBy>Rahul Kulkarni</cp:lastModifiedBy>
  <dcterms:created xsi:type="dcterms:W3CDTF">2026-08-25T08:39:21Z</dcterms:created>
  <dcterms:modified xsi:type="dcterms:W3CDTF">2026-09-01T08:00:39Z</dcterms:modified>
</cp:coreProperties>
</file>