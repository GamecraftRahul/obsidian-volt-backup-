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Obsidian Vault\ISMS\PGDM FY ( TREAM 1)\business analysis\CLG source and practice\"/>
    </mc:Choice>
  </mc:AlternateContent>
  <xr:revisionPtr revIDLastSave="0" documentId="13_ncr:1_{C3F97F8C-3553-48DD-B487-3B66F36A57E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Quarterly_Sales_Profit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V24" i="1"/>
  <c r="W24" i="1"/>
  <c r="X24" i="1"/>
  <c r="Y24" i="1"/>
  <c r="U25" i="1"/>
  <c r="V25" i="1"/>
  <c r="W25" i="1"/>
  <c r="X25" i="1"/>
  <c r="Y25" i="1"/>
  <c r="U26" i="1"/>
  <c r="V26" i="1"/>
  <c r="W26" i="1"/>
  <c r="X26" i="1"/>
  <c r="Y26" i="1"/>
  <c r="U27" i="1"/>
  <c r="V27" i="1"/>
  <c r="W27" i="1"/>
  <c r="X27" i="1"/>
  <c r="Y27" i="1"/>
  <c r="U28" i="1"/>
  <c r="V28" i="1"/>
  <c r="W28" i="1"/>
  <c r="X28" i="1"/>
  <c r="Y28" i="1"/>
  <c r="Y39" i="1"/>
  <c r="X39" i="1"/>
  <c r="W39" i="1"/>
  <c r="V39" i="1"/>
  <c r="U39" i="1"/>
  <c r="Y38" i="1"/>
  <c r="X38" i="1"/>
  <c r="W38" i="1"/>
  <c r="V38" i="1"/>
  <c r="U38" i="1"/>
  <c r="Y37" i="1"/>
  <c r="X37" i="1"/>
  <c r="W37" i="1"/>
  <c r="V37" i="1"/>
  <c r="U37" i="1"/>
  <c r="Y36" i="1"/>
  <c r="X36" i="1"/>
  <c r="W36" i="1"/>
  <c r="V36" i="1"/>
  <c r="U36" i="1"/>
  <c r="Y35" i="1"/>
  <c r="X35" i="1"/>
  <c r="W35" i="1"/>
  <c r="V35" i="1"/>
  <c r="U35" i="1"/>
  <c r="Y34" i="1"/>
  <c r="X34" i="1"/>
  <c r="W34" i="1"/>
  <c r="V34" i="1"/>
  <c r="U34" i="1"/>
  <c r="Y29" i="1"/>
  <c r="X29" i="1"/>
  <c r="W29" i="1"/>
  <c r="V29" i="1"/>
  <c r="U29" i="1"/>
  <c r="Y13" i="1"/>
  <c r="X13" i="1"/>
  <c r="W13" i="1"/>
  <c r="U13" i="1"/>
  <c r="V13" i="1"/>
  <c r="U14" i="1"/>
  <c r="V14" i="1"/>
  <c r="W14" i="1"/>
  <c r="X14" i="1"/>
  <c r="Y14" i="1"/>
  <c r="U15" i="1"/>
  <c r="V15" i="1"/>
  <c r="W15" i="1"/>
  <c r="X15" i="1"/>
  <c r="Y15" i="1"/>
  <c r="U16" i="1"/>
  <c r="V16" i="1"/>
  <c r="W16" i="1"/>
  <c r="X16" i="1"/>
  <c r="Y16" i="1"/>
  <c r="U17" i="1"/>
  <c r="V17" i="1"/>
  <c r="W17" i="1"/>
  <c r="X17" i="1"/>
  <c r="Y17" i="1"/>
  <c r="U18" i="1"/>
  <c r="V18" i="1"/>
  <c r="W18" i="1"/>
  <c r="X18" i="1"/>
  <c r="Y18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<sst xmlns="http://schemas.openxmlformats.org/spreadsheetml/2006/main" count="142" uniqueCount="25">
  <si>
    <t>Q1</t>
  </si>
  <si>
    <t>North</t>
  </si>
  <si>
    <t>Refrigerator</t>
  </si>
  <si>
    <t>Washing Machine</t>
  </si>
  <si>
    <t>Air Conditioner</t>
  </si>
  <si>
    <t>Microwave Oven</t>
  </si>
  <si>
    <t>LED Television</t>
  </si>
  <si>
    <t>South</t>
  </si>
  <si>
    <t>East</t>
  </si>
  <si>
    <t>West</t>
  </si>
  <si>
    <t>Q2</t>
  </si>
  <si>
    <t>Q4</t>
  </si>
  <si>
    <t>% profit</t>
  </si>
  <si>
    <t>Row Labels</t>
  </si>
  <si>
    <t>Grand Total</t>
  </si>
  <si>
    <t>Column Labels</t>
  </si>
  <si>
    <t>Sum of Sales</t>
  </si>
  <si>
    <t>Sum of Profit</t>
  </si>
  <si>
    <t>Average of % profit</t>
  </si>
  <si>
    <t>Year</t>
  </si>
  <si>
    <t>Quarter</t>
  </si>
  <si>
    <t>Region</t>
  </si>
  <si>
    <t>Product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</si>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</sst>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3A4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9" fontId="1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9.619979861112" createdVersion="8" refreshedVersion="8" minRefreshableVersion="3" recordCount="35" xr:uid="{DA224DEA-BB5F-48B9-82F0-4C0442EE2B29}">
  <cacheSource type="worksheet">
    <worksheetSource ref="A1:G36" sheet="Quarterly_Sales_Profit"/>
  </cacheSource>
  <cacheFields count="7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Quarter" numFmtId="0">
      <sharedItems/>
    </cacheField>
    <cacheField name="Region" numFmtId="0">
      <sharedItems/>
    </cacheField>
    <cacheField name="Product" numFmtId="0">
      <sharedItems count="5">
        <s v="Refrigerator"/>
        <s v="Washing Machine"/>
        <s v="Air Conditioner"/>
        <s v="Microwave Oven"/>
        <s v="LED Television"/>
      </sharedItems>
    </cacheField>
    <cacheField name="Sales" numFmtId="0">
      <sharedItems containsSemiMixedTypes="0" containsString="0" containsNumber="1" containsInteger="1" minValue="27" maxValue="88"/>
    </cacheField>
    <cacheField name="Profit" numFmtId="0">
      <sharedItems containsSemiMixedTypes="0" containsString="0" containsNumber="1" containsInteger="1" minValue="3" maxValue="18"/>
    </cacheField>
    <cacheField name="% profit" numFmtId="9">
      <sharedItems containsSemiMixedTypes="0" containsString="0" containsNumber="1" minValue="0.1111111111111111" maxValue="0.223684210526315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s v="Q1"/>
    <s v="North"/>
    <x v="0"/>
    <n v="45"/>
    <n v="6"/>
    <n v="0.13333333333333333"/>
  </r>
  <r>
    <x v="0"/>
    <s v="Q1"/>
    <s v="North"/>
    <x v="1"/>
    <n v="62"/>
    <n v="11"/>
    <n v="0.17741935483870969"/>
  </r>
  <r>
    <x v="0"/>
    <s v="Q1"/>
    <s v="North"/>
    <x v="2"/>
    <n v="38"/>
    <n v="6"/>
    <n v="0.15789473684210525"/>
  </r>
  <r>
    <x v="0"/>
    <s v="Q1"/>
    <s v="North"/>
    <x v="3"/>
    <n v="71"/>
    <n v="14"/>
    <n v="0.19718309859154928"/>
  </r>
  <r>
    <x v="0"/>
    <s v="Q1"/>
    <s v="North"/>
    <x v="4"/>
    <n v="29"/>
    <n v="4"/>
    <n v="0.13793103448275862"/>
  </r>
  <r>
    <x v="0"/>
    <s v="Q1"/>
    <s v="South"/>
    <x v="0"/>
    <n v="54"/>
    <n v="9"/>
    <n v="0.16666666666666666"/>
  </r>
  <r>
    <x v="0"/>
    <s v="Q1"/>
    <s v="South"/>
    <x v="1"/>
    <n v="68"/>
    <n v="14"/>
    <n v="0.20588235294117646"/>
  </r>
  <r>
    <x v="0"/>
    <s v="Q1"/>
    <s v="South"/>
    <x v="2"/>
    <n v="41"/>
    <n v="6"/>
    <n v="0.14634146341463414"/>
  </r>
  <r>
    <x v="0"/>
    <s v="Q1"/>
    <s v="South"/>
    <x v="3"/>
    <n v="76"/>
    <n v="17"/>
    <n v="0.22368421052631579"/>
  </r>
  <r>
    <x v="0"/>
    <s v="Q1"/>
    <s v="South"/>
    <x v="4"/>
    <n v="33"/>
    <n v="5"/>
    <n v="0.15151515151515152"/>
  </r>
  <r>
    <x v="0"/>
    <s v="Q1"/>
    <s v="East"/>
    <x v="0"/>
    <n v="47"/>
    <n v="8"/>
    <n v="0.1702127659574468"/>
  </r>
  <r>
    <x v="0"/>
    <s v="Q1"/>
    <s v="East"/>
    <x v="1"/>
    <n v="59"/>
    <n v="11"/>
    <n v="0.1864406779661017"/>
  </r>
  <r>
    <x v="0"/>
    <s v="Q1"/>
    <s v="East"/>
    <x v="2"/>
    <n v="36"/>
    <n v="5"/>
    <n v="0.1388888888888889"/>
  </r>
  <r>
    <x v="0"/>
    <s v="Q1"/>
    <s v="East"/>
    <x v="3"/>
    <n v="69"/>
    <n v="14"/>
    <n v="0.20289855072463769"/>
  </r>
  <r>
    <x v="0"/>
    <s v="Q1"/>
    <s v="East"/>
    <x v="4"/>
    <n v="27"/>
    <n v="3"/>
    <n v="0.1111111111111111"/>
  </r>
  <r>
    <x v="0"/>
    <s v="Q1"/>
    <s v="West"/>
    <x v="0"/>
    <n v="52"/>
    <n v="9"/>
    <n v="0.17307692307692307"/>
  </r>
  <r>
    <x v="0"/>
    <s v="Q1"/>
    <s v="West"/>
    <x v="1"/>
    <n v="65"/>
    <n v="14"/>
    <n v="0.2153846153846154"/>
  </r>
  <r>
    <x v="0"/>
    <s v="Q1"/>
    <s v="West"/>
    <x v="2"/>
    <n v="44"/>
    <n v="7"/>
    <n v="0.15909090909090909"/>
  </r>
  <r>
    <x v="0"/>
    <s v="Q1"/>
    <s v="West"/>
    <x v="3"/>
    <n v="73"/>
    <n v="16"/>
    <n v="0.21917808219178081"/>
  </r>
  <r>
    <x v="0"/>
    <s v="Q1"/>
    <s v="West"/>
    <x v="4"/>
    <n v="31"/>
    <n v="5"/>
    <n v="0.16129032258064516"/>
  </r>
  <r>
    <x v="1"/>
    <s v="Q1"/>
    <s v="North"/>
    <x v="0"/>
    <n v="50"/>
    <n v="8"/>
    <n v="0.16"/>
  </r>
  <r>
    <x v="1"/>
    <s v="Q1"/>
    <s v="North"/>
    <x v="1"/>
    <n v="67"/>
    <n v="13"/>
    <n v="0.19402985074626866"/>
  </r>
  <r>
    <x v="1"/>
    <s v="Q1"/>
    <s v="North"/>
    <x v="2"/>
    <n v="45"/>
    <n v="8"/>
    <n v="0.17777777777777778"/>
  </r>
  <r>
    <x v="1"/>
    <s v="Q1"/>
    <s v="North"/>
    <x v="3"/>
    <n v="78"/>
    <n v="17"/>
    <n v="0.21794871794871795"/>
  </r>
  <r>
    <x v="1"/>
    <s v="Q1"/>
    <s v="North"/>
    <x v="4"/>
    <n v="36"/>
    <n v="5"/>
    <n v="0.1388888888888889"/>
  </r>
  <r>
    <x v="2"/>
    <s v="Q2"/>
    <s v="East"/>
    <x v="0"/>
    <n v="55"/>
    <n v="9"/>
    <n v="0.16363636363636364"/>
  </r>
  <r>
    <x v="2"/>
    <s v="Q2"/>
    <s v="East"/>
    <x v="1"/>
    <n v="70"/>
    <n v="15"/>
    <n v="0.21428571428571427"/>
  </r>
  <r>
    <x v="2"/>
    <s v="Q2"/>
    <s v="East"/>
    <x v="2"/>
    <n v="46"/>
    <n v="8"/>
    <n v="0.17391304347826086"/>
  </r>
  <r>
    <x v="2"/>
    <s v="Q2"/>
    <s v="East"/>
    <x v="3"/>
    <n v="81"/>
    <n v="18"/>
    <n v="0.22222222222222221"/>
  </r>
  <r>
    <x v="2"/>
    <s v="Q2"/>
    <s v="East"/>
    <x v="4"/>
    <n v="39"/>
    <n v="6"/>
    <n v="0.15384615384615385"/>
  </r>
  <r>
    <x v="3"/>
    <s v="Q4"/>
    <s v="West"/>
    <x v="0"/>
    <n v="60"/>
    <n v="11"/>
    <n v="0.18333333333333332"/>
  </r>
  <r>
    <x v="3"/>
    <s v="Q4"/>
    <s v="West"/>
    <x v="1"/>
    <n v="74"/>
    <n v="16"/>
    <n v="0.21621621621621623"/>
  </r>
  <r>
    <x v="3"/>
    <s v="Q4"/>
    <s v="West"/>
    <x v="2"/>
    <n v="52"/>
    <n v="10"/>
    <n v="0.19230769230769232"/>
  </r>
  <r>
    <x v="3"/>
    <s v="Q4"/>
    <s v="West"/>
    <x v="3"/>
    <n v="88"/>
    <n v="18"/>
    <n v="0.20454545454545456"/>
  </r>
  <r>
    <x v="3"/>
    <s v="Q4"/>
    <s v="West"/>
    <x v="4"/>
    <n v="44"/>
    <n v="7"/>
    <n v="0.159090909090909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D0024-466D-4C67-AD94-F5DF4DF6F7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R19" firstHeaderRow="1" firstDataRow="2" firstDataCol="1"/>
  <pivotFields count="7"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dataField="1" showAll="0"/>
    <pivotField showAll="0"/>
    <pivotField numFmtId="9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3A3A4-7283-49A3-81B1-14435DF8DF0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3:R40" firstHeaderRow="1" firstDataRow="2" firstDataCol="1"/>
  <pivotFields count="7"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dataField="1" numFmtId="9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% profit" fld="6" subtotal="average" baseField="3" baseItem="1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F1113-4949-4D74-BEA9-A40CE57AFD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3:R30" firstHeaderRow="1" firstDataRow="2" firstDataCol="1"/>
  <pivotFields count="7"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dataField="1" showAll="0"/>
    <pivotField numFmtId="9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topLeftCell="D14" workbookViewId="0">
      <selection activeCell="J9" sqref="J9"/>
    </sheetView>
  </sheetViews>
  <sheetFormatPr defaultRowHeight="13.8" x14ac:dyDescent="0.25"/>
  <cols>
    <col min="1" max="1" width="5.44140625" style="1" bestFit="1" customWidth="1"/>
    <col min="2" max="2" width="7.77734375" style="1" bestFit="1" customWidth="1"/>
    <col min="3" max="3" width="7.33203125" style="1" bestFit="1" customWidth="1"/>
    <col min="4" max="4" width="17" style="1" bestFit="1" customWidth="1"/>
    <col min="5" max="5" width="6" style="1" bestFit="1" customWidth="1"/>
    <col min="6" max="6" width="5.6640625" style="1" bestFit="1" customWidth="1"/>
    <col min="7" max="7" width="7.77734375" style="1" bestFit="1" customWidth="1"/>
    <col min="8" max="12" width="8.88671875" style="1"/>
    <col min="13" max="13" width="15.44140625" style="1" bestFit="1" customWidth="1"/>
    <col min="14" max="14" width="13.33203125" style="1" bestFit="1" customWidth="1"/>
    <col min="15" max="17" width="5" style="1" bestFit="1" customWidth="1"/>
    <col min="18" max="18" width="10.77734375" style="1" bestFit="1" customWidth="1"/>
    <col min="19" max="20" width="8.88671875" style="1"/>
    <col min="21" max="21" width="17.33203125" style="1" bestFit="1" customWidth="1"/>
    <col min="22" max="22" width="15.5546875" style="1" bestFit="1" customWidth="1"/>
    <col min="23" max="25" width="5.44140625" style="1" bestFit="1" customWidth="1"/>
    <col min="26" max="26" width="10.77734375" style="1" bestFit="1" customWidth="1"/>
    <col min="27" max="16384" width="8.88671875" style="1"/>
  </cols>
  <sheetData>
    <row r="1" spans="1:25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12</v>
      </c>
    </row>
    <row r="2" spans="1:25" x14ac:dyDescent="0.25">
      <c r="A2" s="2">
        <v>2022</v>
      </c>
      <c r="B2" s="2" t="s">
        <v>0</v>
      </c>
      <c r="C2" s="2" t="s">
        <v>1</v>
      </c>
      <c r="D2" s="2" t="s">
        <v>2</v>
      </c>
      <c r="E2" s="2">
        <v>45</v>
      </c>
      <c r="F2" s="2">
        <v>6</v>
      </c>
      <c r="G2" s="3">
        <f>F2/E2</f>
        <v>0.13333333333333333</v>
      </c>
    </row>
    <row r="3" spans="1:25" x14ac:dyDescent="0.25">
      <c r="A3" s="2">
        <v>2022</v>
      </c>
      <c r="B3" s="2" t="s">
        <v>0</v>
      </c>
      <c r="C3" s="2" t="s">
        <v>1</v>
      </c>
      <c r="D3" s="2" t="s">
        <v>3</v>
      </c>
      <c r="E3" s="2">
        <v>62</v>
      </c>
      <c r="F3" s="2">
        <v>11</v>
      </c>
      <c r="G3" s="3">
        <f t="shared" ref="G3:G36" si="0">F3/E3</f>
        <v>0.17741935483870969</v>
      </c>
    </row>
    <row r="4" spans="1:25" x14ac:dyDescent="0.25">
      <c r="A4" s="2">
        <v>2022</v>
      </c>
      <c r="B4" s="2" t="s">
        <v>0</v>
      </c>
      <c r="C4" s="2" t="s">
        <v>1</v>
      </c>
      <c r="D4" s="2" t="s">
        <v>4</v>
      </c>
      <c r="E4" s="2">
        <v>38</v>
      </c>
      <c r="F4" s="2">
        <v>6</v>
      </c>
      <c r="G4" s="3">
        <f t="shared" si="0"/>
        <v>0.15789473684210525</v>
      </c>
    </row>
    <row r="5" spans="1:25" x14ac:dyDescent="0.25">
      <c r="A5" s="2">
        <v>2022</v>
      </c>
      <c r="B5" s="2" t="s">
        <v>0</v>
      </c>
      <c r="C5" s="2" t="s">
        <v>1</v>
      </c>
      <c r="D5" s="2" t="s">
        <v>5</v>
      </c>
      <c r="E5" s="2">
        <v>71</v>
      </c>
      <c r="F5" s="2">
        <v>14</v>
      </c>
      <c r="G5" s="3">
        <f t="shared" si="0"/>
        <v>0.19718309859154928</v>
      </c>
    </row>
    <row r="6" spans="1:25" x14ac:dyDescent="0.25">
      <c r="A6" s="2">
        <v>2022</v>
      </c>
      <c r="B6" s="2" t="s">
        <v>0</v>
      </c>
      <c r="C6" s="2" t="s">
        <v>1</v>
      </c>
      <c r="D6" s="2" t="s">
        <v>6</v>
      </c>
      <c r="E6" s="2">
        <v>29</v>
      </c>
      <c r="F6" s="2">
        <v>4</v>
      </c>
      <c r="G6" s="3">
        <f t="shared" si="0"/>
        <v>0.13793103448275862</v>
      </c>
    </row>
    <row r="7" spans="1:25" x14ac:dyDescent="0.25">
      <c r="A7" s="2">
        <v>2022</v>
      </c>
      <c r="B7" s="2" t="s">
        <v>0</v>
      </c>
      <c r="C7" s="2" t="s">
        <v>7</v>
      </c>
      <c r="D7" s="2" t="s">
        <v>2</v>
      </c>
      <c r="E7" s="2">
        <v>54</v>
      </c>
      <c r="F7" s="2">
        <v>9</v>
      </c>
      <c r="G7" s="3">
        <f t="shared" si="0"/>
        <v>0.16666666666666666</v>
      </c>
    </row>
    <row r="8" spans="1:25" x14ac:dyDescent="0.25">
      <c r="A8" s="2">
        <v>2022</v>
      </c>
      <c r="B8" s="2" t="s">
        <v>0</v>
      </c>
      <c r="C8" s="2" t="s">
        <v>7</v>
      </c>
      <c r="D8" s="2" t="s">
        <v>3</v>
      </c>
      <c r="E8" s="2">
        <v>68</v>
      </c>
      <c r="F8" s="2">
        <v>14</v>
      </c>
      <c r="G8" s="3">
        <f t="shared" si="0"/>
        <v>0.20588235294117646</v>
      </c>
    </row>
    <row r="9" spans="1:25" x14ac:dyDescent="0.25">
      <c r="A9" s="2">
        <v>2022</v>
      </c>
      <c r="B9" s="2" t="s">
        <v>0</v>
      </c>
      <c r="C9" s="2" t="s">
        <v>7</v>
      </c>
      <c r="D9" s="2" t="s">
        <v>4</v>
      </c>
      <c r="E9" s="2">
        <v>41</v>
      </c>
      <c r="F9" s="2">
        <v>6</v>
      </c>
      <c r="G9" s="3">
        <f t="shared" si="0"/>
        <v>0.14634146341463414</v>
      </c>
    </row>
    <row r="10" spans="1:25" x14ac:dyDescent="0.25">
      <c r="A10" s="2">
        <v>2022</v>
      </c>
      <c r="B10" s="2" t="s">
        <v>0</v>
      </c>
      <c r="C10" s="2" t="s">
        <v>7</v>
      </c>
      <c r="D10" s="2" t="s">
        <v>5</v>
      </c>
      <c r="E10" s="2">
        <v>76</v>
      </c>
      <c r="F10" s="2">
        <v>17</v>
      </c>
      <c r="G10" s="3">
        <f t="shared" si="0"/>
        <v>0.22368421052631579</v>
      </c>
    </row>
    <row r="11" spans="1:25" x14ac:dyDescent="0.25">
      <c r="A11" s="2">
        <v>2022</v>
      </c>
      <c r="B11" s="2" t="s">
        <v>0</v>
      </c>
      <c r="C11" s="2" t="s">
        <v>7</v>
      </c>
      <c r="D11" s="2" t="s">
        <v>6</v>
      </c>
      <c r="E11" s="2">
        <v>33</v>
      </c>
      <c r="F11" s="2">
        <v>5</v>
      </c>
      <c r="G11" s="3">
        <f t="shared" si="0"/>
        <v>0.15151515151515152</v>
      </c>
    </row>
    <row r="12" spans="1:25" ht="14.4" x14ac:dyDescent="0.3">
      <c r="A12" s="2">
        <v>2022</v>
      </c>
      <c r="B12" s="2" t="s">
        <v>0</v>
      </c>
      <c r="C12" s="2" t="s">
        <v>8</v>
      </c>
      <c r="D12" s="2" t="s">
        <v>2</v>
      </c>
      <c r="E12" s="2">
        <v>47</v>
      </c>
      <c r="F12" s="2">
        <v>8</v>
      </c>
      <c r="G12" s="3">
        <f t="shared" si="0"/>
        <v>0.1702127659574468</v>
      </c>
      <c r="M12" s="4" t="s">
        <v>16</v>
      </c>
      <c r="N12" s="4" t="s">
        <v>15</v>
      </c>
      <c r="O12"/>
      <c r="P12"/>
      <c r="Q12"/>
      <c r="R12"/>
    </row>
    <row r="13" spans="1:25" ht="14.4" x14ac:dyDescent="0.3">
      <c r="A13" s="2">
        <v>2022</v>
      </c>
      <c r="B13" s="2" t="s">
        <v>0</v>
      </c>
      <c r="C13" s="2" t="s">
        <v>8</v>
      </c>
      <c r="D13" s="2" t="s">
        <v>3</v>
      </c>
      <c r="E13" s="2">
        <v>59</v>
      </c>
      <c r="F13" s="2">
        <v>11</v>
      </c>
      <c r="G13" s="3">
        <f t="shared" si="0"/>
        <v>0.1864406779661017</v>
      </c>
      <c r="M13" s="4" t="s">
        <v>13</v>
      </c>
      <c r="N13">
        <v>2022</v>
      </c>
      <c r="O13">
        <v>2023</v>
      </c>
      <c r="P13">
        <v>2024</v>
      </c>
      <c r="Q13">
        <v>2025</v>
      </c>
      <c r="R13" t="s">
        <v>14</v>
      </c>
      <c r="U13" s="7" t="str">
        <f t="shared" ref="U13:Y18" si="1">M13</f>
        <v>Row Labels</v>
      </c>
      <c r="V13" s="8">
        <f t="shared" si="1"/>
        <v>2022</v>
      </c>
      <c r="W13" s="8">
        <f>O13</f>
        <v>2023</v>
      </c>
      <c r="X13" s="8">
        <f>P13</f>
        <v>2024</v>
      </c>
      <c r="Y13" s="8">
        <f>Q13</f>
        <v>2025</v>
      </c>
    </row>
    <row r="14" spans="1:25" ht="14.4" x14ac:dyDescent="0.3">
      <c r="A14" s="2">
        <v>2022</v>
      </c>
      <c r="B14" s="2" t="s">
        <v>0</v>
      </c>
      <c r="C14" s="2" t="s">
        <v>8</v>
      </c>
      <c r="D14" s="2" t="s">
        <v>4</v>
      </c>
      <c r="E14" s="2">
        <v>36</v>
      </c>
      <c r="F14" s="2">
        <v>5</v>
      </c>
      <c r="G14" s="3">
        <f t="shared" si="0"/>
        <v>0.1388888888888889</v>
      </c>
      <c r="M14" s="5" t="s">
        <v>4</v>
      </c>
      <c r="N14">
        <v>159</v>
      </c>
      <c r="O14">
        <v>45</v>
      </c>
      <c r="P14">
        <v>46</v>
      </c>
      <c r="Q14">
        <v>52</v>
      </c>
      <c r="R14">
        <v>302</v>
      </c>
      <c r="U14" s="7" t="str">
        <f t="shared" si="1"/>
        <v>Air Conditioner</v>
      </c>
      <c r="V14" s="2">
        <f t="shared" si="1"/>
        <v>159</v>
      </c>
      <c r="W14" s="2">
        <f t="shared" si="1"/>
        <v>45</v>
      </c>
      <c r="X14" s="2">
        <f t="shared" si="1"/>
        <v>46</v>
      </c>
      <c r="Y14" s="2">
        <f t="shared" si="1"/>
        <v>52</v>
      </c>
    </row>
    <row r="15" spans="1:25" ht="14.4" x14ac:dyDescent="0.3">
      <c r="A15" s="2">
        <v>2022</v>
      </c>
      <c r="B15" s="2" t="s">
        <v>0</v>
      </c>
      <c r="C15" s="2" t="s">
        <v>8</v>
      </c>
      <c r="D15" s="2" t="s">
        <v>5</v>
      </c>
      <c r="E15" s="2">
        <v>69</v>
      </c>
      <c r="F15" s="2">
        <v>14</v>
      </c>
      <c r="G15" s="3">
        <f t="shared" si="0"/>
        <v>0.20289855072463769</v>
      </c>
      <c r="M15" s="5" t="s">
        <v>6</v>
      </c>
      <c r="N15">
        <v>120</v>
      </c>
      <c r="O15">
        <v>36</v>
      </c>
      <c r="P15">
        <v>39</v>
      </c>
      <c r="Q15">
        <v>44</v>
      </c>
      <c r="R15">
        <v>239</v>
      </c>
      <c r="U15" s="7" t="str">
        <f t="shared" si="1"/>
        <v>LED Television</v>
      </c>
      <c r="V15" s="2">
        <f t="shared" si="1"/>
        <v>120</v>
      </c>
      <c r="W15" s="2">
        <f t="shared" si="1"/>
        <v>36</v>
      </c>
      <c r="X15" s="2">
        <f t="shared" si="1"/>
        <v>39</v>
      </c>
      <c r="Y15" s="2">
        <f t="shared" si="1"/>
        <v>44</v>
      </c>
    </row>
    <row r="16" spans="1:25" ht="14.4" x14ac:dyDescent="0.3">
      <c r="A16" s="2">
        <v>2022</v>
      </c>
      <c r="B16" s="2" t="s">
        <v>0</v>
      </c>
      <c r="C16" s="2" t="s">
        <v>8</v>
      </c>
      <c r="D16" s="2" t="s">
        <v>6</v>
      </c>
      <c r="E16" s="2">
        <v>27</v>
      </c>
      <c r="F16" s="2">
        <v>3</v>
      </c>
      <c r="G16" s="3">
        <f t="shared" si="0"/>
        <v>0.1111111111111111</v>
      </c>
      <c r="M16" s="5" t="s">
        <v>5</v>
      </c>
      <c r="N16">
        <v>289</v>
      </c>
      <c r="O16">
        <v>78</v>
      </c>
      <c r="P16">
        <v>81</v>
      </c>
      <c r="Q16">
        <v>88</v>
      </c>
      <c r="R16">
        <v>536</v>
      </c>
      <c r="U16" s="7" t="str">
        <f t="shared" si="1"/>
        <v>Microwave Oven</v>
      </c>
      <c r="V16" s="2">
        <f t="shared" si="1"/>
        <v>289</v>
      </c>
      <c r="W16" s="2">
        <f t="shared" si="1"/>
        <v>78</v>
      </c>
      <c r="X16" s="2">
        <f t="shared" si="1"/>
        <v>81</v>
      </c>
      <c r="Y16" s="2">
        <f t="shared" si="1"/>
        <v>88</v>
      </c>
    </row>
    <row r="17" spans="1:25" ht="14.4" x14ac:dyDescent="0.3">
      <c r="A17" s="2">
        <v>2022</v>
      </c>
      <c r="B17" s="2" t="s">
        <v>0</v>
      </c>
      <c r="C17" s="2" t="s">
        <v>9</v>
      </c>
      <c r="D17" s="2" t="s">
        <v>2</v>
      </c>
      <c r="E17" s="2">
        <v>52</v>
      </c>
      <c r="F17" s="2">
        <v>9</v>
      </c>
      <c r="G17" s="3">
        <f t="shared" si="0"/>
        <v>0.17307692307692307</v>
      </c>
      <c r="M17" s="5" t="s">
        <v>2</v>
      </c>
      <c r="N17">
        <v>198</v>
      </c>
      <c r="O17">
        <v>50</v>
      </c>
      <c r="P17">
        <v>55</v>
      </c>
      <c r="Q17">
        <v>60</v>
      </c>
      <c r="R17">
        <v>363</v>
      </c>
      <c r="U17" s="7" t="str">
        <f t="shared" si="1"/>
        <v>Refrigerator</v>
      </c>
      <c r="V17" s="2">
        <f t="shared" si="1"/>
        <v>198</v>
      </c>
      <c r="W17" s="2">
        <f t="shared" si="1"/>
        <v>50</v>
      </c>
      <c r="X17" s="2">
        <f t="shared" si="1"/>
        <v>55</v>
      </c>
      <c r="Y17" s="2">
        <f t="shared" si="1"/>
        <v>60</v>
      </c>
    </row>
    <row r="18" spans="1:25" ht="14.4" x14ac:dyDescent="0.3">
      <c r="A18" s="2">
        <v>2022</v>
      </c>
      <c r="B18" s="2" t="s">
        <v>0</v>
      </c>
      <c r="C18" s="2" t="s">
        <v>9</v>
      </c>
      <c r="D18" s="2" t="s">
        <v>3</v>
      </c>
      <c r="E18" s="2">
        <v>65</v>
      </c>
      <c r="F18" s="2">
        <v>14</v>
      </c>
      <c r="G18" s="3">
        <f t="shared" si="0"/>
        <v>0.2153846153846154</v>
      </c>
      <c r="M18" s="5" t="s">
        <v>3</v>
      </c>
      <c r="N18">
        <v>254</v>
      </c>
      <c r="O18">
        <v>67</v>
      </c>
      <c r="P18">
        <v>70</v>
      </c>
      <c r="Q18">
        <v>74</v>
      </c>
      <c r="R18">
        <v>465</v>
      </c>
      <c r="U18" s="7" t="str">
        <f t="shared" si="1"/>
        <v>Washing Machine</v>
      </c>
      <c r="V18" s="2">
        <f t="shared" si="1"/>
        <v>254</v>
      </c>
      <c r="W18" s="2">
        <f t="shared" si="1"/>
        <v>67</v>
      </c>
      <c r="X18" s="2">
        <f t="shared" si="1"/>
        <v>70</v>
      </c>
      <c r="Y18" s="2">
        <f t="shared" si="1"/>
        <v>74</v>
      </c>
    </row>
    <row r="19" spans="1:25" ht="14.4" x14ac:dyDescent="0.3">
      <c r="A19" s="2">
        <v>2022</v>
      </c>
      <c r="B19" s="2" t="s">
        <v>0</v>
      </c>
      <c r="C19" s="2" t="s">
        <v>9</v>
      </c>
      <c r="D19" s="2" t="s">
        <v>4</v>
      </c>
      <c r="E19" s="2">
        <v>44</v>
      </c>
      <c r="F19" s="2">
        <v>7</v>
      </c>
      <c r="G19" s="3">
        <f t="shared" si="0"/>
        <v>0.15909090909090909</v>
      </c>
      <c r="M19" s="5" t="s">
        <v>14</v>
      </c>
      <c r="N19">
        <v>1020</v>
      </c>
      <c r="O19">
        <v>276</v>
      </c>
      <c r="P19">
        <v>291</v>
      </c>
      <c r="Q19">
        <v>318</v>
      </c>
      <c r="R19">
        <v>1905</v>
      </c>
    </row>
    <row r="20" spans="1:25" ht="14.4" x14ac:dyDescent="0.3">
      <c r="A20" s="2">
        <v>2022</v>
      </c>
      <c r="B20" s="2" t="s">
        <v>0</v>
      </c>
      <c r="C20" s="2" t="s">
        <v>9</v>
      </c>
      <c r="D20" s="2" t="s">
        <v>5</v>
      </c>
      <c r="E20" s="2">
        <v>73</v>
      </c>
      <c r="F20" s="2">
        <v>16</v>
      </c>
      <c r="G20" s="3">
        <f t="shared" si="0"/>
        <v>0.21917808219178081</v>
      </c>
      <c r="M20"/>
      <c r="N20"/>
      <c r="O20"/>
    </row>
    <row r="21" spans="1:25" ht="14.4" x14ac:dyDescent="0.3">
      <c r="A21" s="2">
        <v>2022</v>
      </c>
      <c r="B21" s="2" t="s">
        <v>0</v>
      </c>
      <c r="C21" s="2" t="s">
        <v>9</v>
      </c>
      <c r="D21" s="2" t="s">
        <v>6</v>
      </c>
      <c r="E21" s="2">
        <v>31</v>
      </c>
      <c r="F21" s="2">
        <v>5</v>
      </c>
      <c r="G21" s="3">
        <f t="shared" si="0"/>
        <v>0.16129032258064516</v>
      </c>
      <c r="M21"/>
      <c r="N21"/>
      <c r="O21"/>
    </row>
    <row r="22" spans="1:25" ht="14.4" x14ac:dyDescent="0.3">
      <c r="A22" s="2">
        <v>2023</v>
      </c>
      <c r="B22" s="2" t="s">
        <v>0</v>
      </c>
      <c r="C22" s="2" t="s">
        <v>1</v>
      </c>
      <c r="D22" s="2" t="s">
        <v>2</v>
      </c>
      <c r="E22" s="2">
        <v>50</v>
      </c>
      <c r="F22" s="2">
        <v>8</v>
      </c>
      <c r="G22" s="3">
        <f t="shared" si="0"/>
        <v>0.16</v>
      </c>
      <c r="M22"/>
      <c r="N22"/>
      <c r="O22"/>
    </row>
    <row r="23" spans="1:25" ht="14.4" x14ac:dyDescent="0.3">
      <c r="A23" s="2">
        <v>2023</v>
      </c>
      <c r="B23" s="2" t="s">
        <v>0</v>
      </c>
      <c r="C23" s="2" t="s">
        <v>1</v>
      </c>
      <c r="D23" s="2" t="s">
        <v>3</v>
      </c>
      <c r="E23" s="2">
        <v>67</v>
      </c>
      <c r="F23" s="2">
        <v>13</v>
      </c>
      <c r="G23" s="3">
        <f t="shared" si="0"/>
        <v>0.19402985074626866</v>
      </c>
      <c r="M23" s="4" t="s">
        <v>17</v>
      </c>
      <c r="N23" s="4" t="s">
        <v>15</v>
      </c>
      <c r="O23"/>
      <c r="P23"/>
      <c r="Q23"/>
      <c r="R23"/>
    </row>
    <row r="24" spans="1:25" ht="14.4" x14ac:dyDescent="0.3">
      <c r="A24" s="2">
        <v>2023</v>
      </c>
      <c r="B24" s="2" t="s">
        <v>0</v>
      </c>
      <c r="C24" s="2" t="s">
        <v>1</v>
      </c>
      <c r="D24" s="2" t="s">
        <v>4</v>
      </c>
      <c r="E24" s="2">
        <v>45</v>
      </c>
      <c r="F24" s="2">
        <v>8</v>
      </c>
      <c r="G24" s="3">
        <f t="shared" si="0"/>
        <v>0.17777777777777778</v>
      </c>
      <c r="M24" s="4" t="s">
        <v>13</v>
      </c>
      <c r="N24">
        <v>2022</v>
      </c>
      <c r="O24">
        <v>2023</v>
      </c>
      <c r="P24">
        <v>2024</v>
      </c>
      <c r="Q24">
        <v>2025</v>
      </c>
      <c r="R24" t="s">
        <v>14</v>
      </c>
      <c r="U24" s="7" t="str">
        <f t="shared" ref="U24:U29" si="2">M24</f>
        <v>Row Labels</v>
      </c>
      <c r="V24" s="8">
        <f t="shared" ref="V24:V29" si="3">N24</f>
        <v>2022</v>
      </c>
      <c r="W24" s="8">
        <f>O24</f>
        <v>2023</v>
      </c>
      <c r="X24" s="8">
        <f>P24</f>
        <v>2024</v>
      </c>
      <c r="Y24" s="8">
        <f>Q24</f>
        <v>2025</v>
      </c>
    </row>
    <row r="25" spans="1:25" ht="14.4" x14ac:dyDescent="0.3">
      <c r="A25" s="2">
        <v>2023</v>
      </c>
      <c r="B25" s="2" t="s">
        <v>0</v>
      </c>
      <c r="C25" s="2" t="s">
        <v>1</v>
      </c>
      <c r="D25" s="2" t="s">
        <v>5</v>
      </c>
      <c r="E25" s="2">
        <v>78</v>
      </c>
      <c r="F25" s="2">
        <v>17</v>
      </c>
      <c r="G25" s="3">
        <f t="shared" si="0"/>
        <v>0.21794871794871795</v>
      </c>
      <c r="M25" s="5" t="s">
        <v>4</v>
      </c>
      <c r="N25">
        <v>24</v>
      </c>
      <c r="O25">
        <v>8</v>
      </c>
      <c r="P25">
        <v>8</v>
      </c>
      <c r="Q25">
        <v>10</v>
      </c>
      <c r="R25">
        <v>50</v>
      </c>
      <c r="U25" s="7" t="str">
        <f t="shared" si="2"/>
        <v>Air Conditioner</v>
      </c>
      <c r="V25" s="2">
        <f t="shared" si="3"/>
        <v>24</v>
      </c>
      <c r="W25" s="2">
        <f t="shared" ref="W25:W29" si="4">O25</f>
        <v>8</v>
      </c>
      <c r="X25" s="2">
        <f t="shared" ref="X25:X29" si="5">P25</f>
        <v>8</v>
      </c>
      <c r="Y25" s="2">
        <f t="shared" ref="Y25:Y29" si="6">Q25</f>
        <v>10</v>
      </c>
    </row>
    <row r="26" spans="1:25" ht="14.4" x14ac:dyDescent="0.3">
      <c r="A26" s="2">
        <v>2023</v>
      </c>
      <c r="B26" s="2" t="s">
        <v>0</v>
      </c>
      <c r="C26" s="2" t="s">
        <v>1</v>
      </c>
      <c r="D26" s="2" t="s">
        <v>6</v>
      </c>
      <c r="E26" s="2">
        <v>36</v>
      </c>
      <c r="F26" s="2">
        <v>5</v>
      </c>
      <c r="G26" s="3">
        <f t="shared" si="0"/>
        <v>0.1388888888888889</v>
      </c>
      <c r="M26" s="5" t="s">
        <v>6</v>
      </c>
      <c r="N26">
        <v>17</v>
      </c>
      <c r="O26">
        <v>5</v>
      </c>
      <c r="P26">
        <v>6</v>
      </c>
      <c r="Q26">
        <v>7</v>
      </c>
      <c r="R26">
        <v>35</v>
      </c>
      <c r="U26" s="7" t="str">
        <f t="shared" si="2"/>
        <v>LED Television</v>
      </c>
      <c r="V26" s="2">
        <f t="shared" si="3"/>
        <v>17</v>
      </c>
      <c r="W26" s="2">
        <f t="shared" si="4"/>
        <v>5</v>
      </c>
      <c r="X26" s="2">
        <f t="shared" si="5"/>
        <v>6</v>
      </c>
      <c r="Y26" s="2">
        <f t="shared" si="6"/>
        <v>7</v>
      </c>
    </row>
    <row r="27" spans="1:25" ht="14.4" x14ac:dyDescent="0.3">
      <c r="A27" s="2">
        <v>2024</v>
      </c>
      <c r="B27" s="2" t="s">
        <v>10</v>
      </c>
      <c r="C27" s="2" t="s">
        <v>8</v>
      </c>
      <c r="D27" s="2" t="s">
        <v>2</v>
      </c>
      <c r="E27" s="2">
        <v>55</v>
      </c>
      <c r="F27" s="2">
        <v>9</v>
      </c>
      <c r="G27" s="3">
        <f t="shared" si="0"/>
        <v>0.16363636363636364</v>
      </c>
      <c r="M27" s="5" t="s">
        <v>5</v>
      </c>
      <c r="N27">
        <v>61</v>
      </c>
      <c r="O27">
        <v>17</v>
      </c>
      <c r="P27">
        <v>18</v>
      </c>
      <c r="Q27">
        <v>18</v>
      </c>
      <c r="R27">
        <v>114</v>
      </c>
      <c r="U27" s="7" t="str">
        <f t="shared" si="2"/>
        <v>Microwave Oven</v>
      </c>
      <c r="V27" s="2">
        <f t="shared" si="3"/>
        <v>61</v>
      </c>
      <c r="W27" s="2">
        <f t="shared" si="4"/>
        <v>17</v>
      </c>
      <c r="X27" s="2">
        <f t="shared" si="5"/>
        <v>18</v>
      </c>
      <c r="Y27" s="2">
        <f t="shared" si="6"/>
        <v>18</v>
      </c>
    </row>
    <row r="28" spans="1:25" ht="14.4" x14ac:dyDescent="0.3">
      <c r="A28" s="2">
        <v>2024</v>
      </c>
      <c r="B28" s="2" t="s">
        <v>10</v>
      </c>
      <c r="C28" s="2" t="s">
        <v>8</v>
      </c>
      <c r="D28" s="2" t="s">
        <v>3</v>
      </c>
      <c r="E28" s="2">
        <v>70</v>
      </c>
      <c r="F28" s="2">
        <v>15</v>
      </c>
      <c r="G28" s="3">
        <f t="shared" si="0"/>
        <v>0.21428571428571427</v>
      </c>
      <c r="M28" s="5" t="s">
        <v>2</v>
      </c>
      <c r="N28">
        <v>32</v>
      </c>
      <c r="O28">
        <v>8</v>
      </c>
      <c r="P28">
        <v>9</v>
      </c>
      <c r="Q28">
        <v>11</v>
      </c>
      <c r="R28">
        <v>60</v>
      </c>
      <c r="U28" s="7" t="str">
        <f t="shared" si="2"/>
        <v>Refrigerator</v>
      </c>
      <c r="V28" s="2">
        <f t="shared" si="3"/>
        <v>32</v>
      </c>
      <c r="W28" s="2">
        <f t="shared" si="4"/>
        <v>8</v>
      </c>
      <c r="X28" s="2">
        <f t="shared" si="5"/>
        <v>9</v>
      </c>
      <c r="Y28" s="2">
        <f t="shared" si="6"/>
        <v>11</v>
      </c>
    </row>
    <row r="29" spans="1:25" ht="14.4" x14ac:dyDescent="0.3">
      <c r="A29" s="2">
        <v>2024</v>
      </c>
      <c r="B29" s="2" t="s">
        <v>10</v>
      </c>
      <c r="C29" s="2" t="s">
        <v>8</v>
      </c>
      <c r="D29" s="2" t="s">
        <v>4</v>
      </c>
      <c r="E29" s="2">
        <v>46</v>
      </c>
      <c r="F29" s="2">
        <v>8</v>
      </c>
      <c r="G29" s="3">
        <f t="shared" si="0"/>
        <v>0.17391304347826086</v>
      </c>
      <c r="M29" s="5" t="s">
        <v>3</v>
      </c>
      <c r="N29">
        <v>50</v>
      </c>
      <c r="O29">
        <v>13</v>
      </c>
      <c r="P29">
        <v>15</v>
      </c>
      <c r="Q29">
        <v>16</v>
      </c>
      <c r="R29">
        <v>94</v>
      </c>
      <c r="U29" s="7" t="str">
        <f t="shared" si="2"/>
        <v>Washing Machine</v>
      </c>
      <c r="V29" s="2">
        <f t="shared" si="3"/>
        <v>50</v>
      </c>
      <c r="W29" s="2">
        <f t="shared" si="4"/>
        <v>13</v>
      </c>
      <c r="X29" s="2">
        <f t="shared" si="5"/>
        <v>15</v>
      </c>
      <c r="Y29" s="2">
        <f t="shared" si="6"/>
        <v>16</v>
      </c>
    </row>
    <row r="30" spans="1:25" ht="14.4" x14ac:dyDescent="0.3">
      <c r="A30" s="2">
        <v>2024</v>
      </c>
      <c r="B30" s="2" t="s">
        <v>10</v>
      </c>
      <c r="C30" s="2" t="s">
        <v>8</v>
      </c>
      <c r="D30" s="2" t="s">
        <v>5</v>
      </c>
      <c r="E30" s="2">
        <v>81</v>
      </c>
      <c r="F30" s="2">
        <v>18</v>
      </c>
      <c r="G30" s="3">
        <f t="shared" si="0"/>
        <v>0.22222222222222221</v>
      </c>
      <c r="M30" s="5" t="s">
        <v>14</v>
      </c>
      <c r="N30">
        <v>184</v>
      </c>
      <c r="O30">
        <v>51</v>
      </c>
      <c r="P30">
        <v>56</v>
      </c>
      <c r="Q30">
        <v>62</v>
      </c>
      <c r="R30">
        <v>353</v>
      </c>
    </row>
    <row r="31" spans="1:25" x14ac:dyDescent="0.25">
      <c r="A31" s="2">
        <v>2024</v>
      </c>
      <c r="B31" s="2" t="s">
        <v>10</v>
      </c>
      <c r="C31" s="2" t="s">
        <v>8</v>
      </c>
      <c r="D31" s="2" t="s">
        <v>6</v>
      </c>
      <c r="E31" s="2">
        <v>39</v>
      </c>
      <c r="F31" s="2">
        <v>6</v>
      </c>
      <c r="G31" s="3">
        <f t="shared" si="0"/>
        <v>0.15384615384615385</v>
      </c>
    </row>
    <row r="32" spans="1:25" x14ac:dyDescent="0.25">
      <c r="A32" s="2">
        <v>2025</v>
      </c>
      <c r="B32" s="2" t="s">
        <v>11</v>
      </c>
      <c r="C32" s="2" t="s">
        <v>9</v>
      </c>
      <c r="D32" s="2" t="s">
        <v>2</v>
      </c>
      <c r="E32" s="2">
        <v>60</v>
      </c>
      <c r="F32" s="2">
        <v>11</v>
      </c>
      <c r="G32" s="3">
        <f t="shared" si="0"/>
        <v>0.18333333333333332</v>
      </c>
    </row>
    <row r="33" spans="1:25" ht="14.4" x14ac:dyDescent="0.3">
      <c r="A33" s="2">
        <v>2025</v>
      </c>
      <c r="B33" s="2" t="s">
        <v>11</v>
      </c>
      <c r="C33" s="2" t="s">
        <v>9</v>
      </c>
      <c r="D33" s="2" t="s">
        <v>3</v>
      </c>
      <c r="E33" s="2">
        <v>74</v>
      </c>
      <c r="F33" s="2">
        <v>16</v>
      </c>
      <c r="G33" s="3">
        <f t="shared" si="0"/>
        <v>0.21621621621621623</v>
      </c>
      <c r="M33" s="4" t="s">
        <v>18</v>
      </c>
      <c r="N33" s="4" t="s">
        <v>15</v>
      </c>
      <c r="O33"/>
      <c r="P33"/>
      <c r="Q33"/>
      <c r="R33"/>
    </row>
    <row r="34" spans="1:25" ht="14.4" x14ac:dyDescent="0.3">
      <c r="A34" s="2">
        <v>2025</v>
      </c>
      <c r="B34" s="2" t="s">
        <v>11</v>
      </c>
      <c r="C34" s="2" t="s">
        <v>9</v>
      </c>
      <c r="D34" s="2" t="s">
        <v>4</v>
      </c>
      <c r="E34" s="2">
        <v>52</v>
      </c>
      <c r="F34" s="2">
        <v>10</v>
      </c>
      <c r="G34" s="3">
        <f t="shared" si="0"/>
        <v>0.19230769230769232</v>
      </c>
      <c r="M34" s="4" t="s">
        <v>13</v>
      </c>
      <c r="N34">
        <v>2022</v>
      </c>
      <c r="O34">
        <v>2023</v>
      </c>
      <c r="P34">
        <v>2024</v>
      </c>
      <c r="Q34">
        <v>2025</v>
      </c>
      <c r="R34" t="s">
        <v>14</v>
      </c>
      <c r="U34" s="7" t="str">
        <f t="shared" ref="U34:U39" si="7">M34</f>
        <v>Row Labels</v>
      </c>
      <c r="V34" s="8">
        <f t="shared" ref="V34:V39" si="8">N34</f>
        <v>2022</v>
      </c>
      <c r="W34" s="8">
        <f>O34</f>
        <v>2023</v>
      </c>
      <c r="X34" s="8">
        <f>P34</f>
        <v>2024</v>
      </c>
      <c r="Y34" s="8">
        <f>Q34</f>
        <v>2025</v>
      </c>
    </row>
    <row r="35" spans="1:25" ht="14.4" x14ac:dyDescent="0.3">
      <c r="A35" s="2">
        <v>2025</v>
      </c>
      <c r="B35" s="2" t="s">
        <v>11</v>
      </c>
      <c r="C35" s="2" t="s">
        <v>9</v>
      </c>
      <c r="D35" s="2" t="s">
        <v>5</v>
      </c>
      <c r="E35" s="2">
        <v>88</v>
      </c>
      <c r="F35" s="2">
        <v>18</v>
      </c>
      <c r="G35" s="3">
        <f t="shared" si="0"/>
        <v>0.20454545454545456</v>
      </c>
      <c r="M35" s="5" t="s">
        <v>4</v>
      </c>
      <c r="N35" s="6">
        <v>0.15055399955913434</v>
      </c>
      <c r="O35" s="6">
        <v>0.17777777777777778</v>
      </c>
      <c r="P35" s="6">
        <v>0.17391304347826086</v>
      </c>
      <c r="Q35" s="6">
        <v>0.19230769230769232</v>
      </c>
      <c r="R35" s="6">
        <v>0.1637449302571812</v>
      </c>
      <c r="U35" s="7" t="str">
        <f t="shared" si="7"/>
        <v>Air Conditioner</v>
      </c>
      <c r="V35" s="3">
        <f t="shared" si="8"/>
        <v>0.15055399955913434</v>
      </c>
      <c r="W35" s="3">
        <f t="shared" ref="W35:W39" si="9">O35</f>
        <v>0.17777777777777778</v>
      </c>
      <c r="X35" s="3">
        <f t="shared" ref="X35:X39" si="10">P35</f>
        <v>0.17391304347826086</v>
      </c>
      <c r="Y35" s="3">
        <f t="shared" ref="Y35:Y39" si="11">Q35</f>
        <v>0.19230769230769232</v>
      </c>
    </row>
    <row r="36" spans="1:25" ht="14.4" x14ac:dyDescent="0.3">
      <c r="A36" s="2">
        <v>2025</v>
      </c>
      <c r="B36" s="2" t="s">
        <v>11</v>
      </c>
      <c r="C36" s="2" t="s">
        <v>9</v>
      </c>
      <c r="D36" s="2" t="s">
        <v>6</v>
      </c>
      <c r="E36" s="2">
        <v>44</v>
      </c>
      <c r="F36" s="2">
        <v>7</v>
      </c>
      <c r="G36" s="3">
        <f t="shared" si="0"/>
        <v>0.15909090909090909</v>
      </c>
      <c r="M36" s="5" t="s">
        <v>6</v>
      </c>
      <c r="N36" s="6">
        <v>0.14046190492241661</v>
      </c>
      <c r="O36" s="6">
        <v>0.1388888888888889</v>
      </c>
      <c r="P36" s="6">
        <v>0.15384615384615385</v>
      </c>
      <c r="Q36" s="6">
        <v>0.15909090909090909</v>
      </c>
      <c r="R36" s="6">
        <v>0.14481051021651689</v>
      </c>
      <c r="U36" s="7" t="str">
        <f t="shared" si="7"/>
        <v>LED Television</v>
      </c>
      <c r="V36" s="3">
        <f t="shared" si="8"/>
        <v>0.14046190492241661</v>
      </c>
      <c r="W36" s="3">
        <f t="shared" si="9"/>
        <v>0.1388888888888889</v>
      </c>
      <c r="X36" s="3">
        <f t="shared" si="10"/>
        <v>0.15384615384615385</v>
      </c>
      <c r="Y36" s="3">
        <f t="shared" si="11"/>
        <v>0.15909090909090909</v>
      </c>
    </row>
    <row r="37" spans="1:25" ht="14.4" x14ac:dyDescent="0.3">
      <c r="M37" s="5" t="s">
        <v>5</v>
      </c>
      <c r="N37" s="6">
        <v>0.21073598550857089</v>
      </c>
      <c r="O37" s="6">
        <v>0.21794871794871795</v>
      </c>
      <c r="P37" s="6">
        <v>0.22222222222222221</v>
      </c>
      <c r="Q37" s="6">
        <v>0.20454545454545456</v>
      </c>
      <c r="R37" s="6">
        <v>0.21252290525009693</v>
      </c>
      <c r="U37" s="7" t="str">
        <f t="shared" si="7"/>
        <v>Microwave Oven</v>
      </c>
      <c r="V37" s="3">
        <f t="shared" si="8"/>
        <v>0.21073598550857089</v>
      </c>
      <c r="W37" s="3">
        <f t="shared" si="9"/>
        <v>0.21794871794871795</v>
      </c>
      <c r="X37" s="3">
        <f t="shared" si="10"/>
        <v>0.22222222222222221</v>
      </c>
      <c r="Y37" s="3">
        <f t="shared" si="11"/>
        <v>0.20454545454545456</v>
      </c>
    </row>
    <row r="38" spans="1:25" ht="14.4" x14ac:dyDescent="0.3">
      <c r="M38" s="5" t="s">
        <v>2</v>
      </c>
      <c r="N38" s="6">
        <v>0.16082242225859245</v>
      </c>
      <c r="O38" s="6">
        <v>0.16</v>
      </c>
      <c r="P38" s="6">
        <v>0.16363636363636364</v>
      </c>
      <c r="Q38" s="6">
        <v>0.18333333333333332</v>
      </c>
      <c r="R38" s="6">
        <v>0.16432276942915242</v>
      </c>
      <c r="U38" s="7" t="str">
        <f t="shared" si="7"/>
        <v>Refrigerator</v>
      </c>
      <c r="V38" s="3">
        <f t="shared" si="8"/>
        <v>0.16082242225859245</v>
      </c>
      <c r="W38" s="3">
        <f t="shared" si="9"/>
        <v>0.16</v>
      </c>
      <c r="X38" s="3">
        <f t="shared" si="10"/>
        <v>0.16363636363636364</v>
      </c>
      <c r="Y38" s="3">
        <f t="shared" si="11"/>
        <v>0.18333333333333332</v>
      </c>
    </row>
    <row r="39" spans="1:25" ht="14.4" x14ac:dyDescent="0.3">
      <c r="M39" s="5" t="s">
        <v>3</v>
      </c>
      <c r="N39" s="6">
        <v>0.1962817502826508</v>
      </c>
      <c r="O39" s="6">
        <v>0.19402985074626866</v>
      </c>
      <c r="P39" s="6">
        <v>0.21428571428571427</v>
      </c>
      <c r="Q39" s="6">
        <v>0.21621621621621623</v>
      </c>
      <c r="R39" s="6">
        <v>0.20137982605411461</v>
      </c>
      <c r="U39" s="7" t="str">
        <f t="shared" si="7"/>
        <v>Washing Machine</v>
      </c>
      <c r="V39" s="3">
        <f t="shared" si="8"/>
        <v>0.1962817502826508</v>
      </c>
      <c r="W39" s="3">
        <f t="shared" si="9"/>
        <v>0.19402985074626866</v>
      </c>
      <c r="X39" s="3">
        <f t="shared" si="10"/>
        <v>0.21428571428571427</v>
      </c>
      <c r="Y39" s="3">
        <f t="shared" si="11"/>
        <v>0.21621621621621623</v>
      </c>
    </row>
    <row r="40" spans="1:25" ht="14.4" x14ac:dyDescent="0.3">
      <c r="M40" s="5" t="s">
        <v>14</v>
      </c>
      <c r="N40" s="6">
        <v>0.171771212506273</v>
      </c>
      <c r="O40" s="6">
        <v>0.17772904707233067</v>
      </c>
      <c r="P40" s="6">
        <v>0.18558069949374298</v>
      </c>
      <c r="Q40" s="6">
        <v>0.19109872109872111</v>
      </c>
      <c r="R40" s="6">
        <v>0.17735618824141242</v>
      </c>
    </row>
  </sheetData>
  <conditionalFormatting sqref="V14:Y18">
    <cfRule type="top10" dxfId="2" priority="3" rank="4"/>
  </conditionalFormatting>
  <conditionalFormatting sqref="V25:Y29">
    <cfRule type="top10" dxfId="1" priority="2" rank="4"/>
  </conditionalFormatting>
  <conditionalFormatting sqref="V35:Y39">
    <cfRule type="top10" dxfId="0" priority="1" rank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Quarterly_Sales_Profit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Kulkarni</cp:lastModifiedBy>
  <dcterms:created xsi:type="dcterms:W3CDTF">2025-12-29T03:51:52Z</dcterms:created>
  <dcterms:modified xsi:type="dcterms:W3CDTF">2026-08-25T12:03:24Z</dcterms:modified>
</cp:coreProperties>
</file>