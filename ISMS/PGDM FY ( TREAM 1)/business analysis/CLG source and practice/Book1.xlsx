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nut\OneDrive\Desktop\PGDM\"/>
    </mc:Choice>
  </mc:AlternateContent>
  <xr:revisionPtr revIDLastSave="0" documentId="13_ncr:1_{E166123F-C4F0-4554-B9B1-E03E46E6A305}" xr6:coauthVersionLast="47" xr6:coauthVersionMax="47" xr10:uidLastSave="{00000000-0000-0000-0000-000000000000}"/>
  <bookViews>
    <workbookView xWindow="-108" yWindow="-108" windowWidth="23256" windowHeight="12456" firstSheet="2" activeTab="2" xr2:uid="{73A8E84A-65C8-4773-BB0F-D49201140A50}"/>
  </bookViews>
  <sheets>
    <sheet name="Student Grades" sheetId="1" r:id="rId1"/>
    <sheet name="Project Schedule" sheetId="2" r:id="rId2"/>
    <sheet name="Manufacturing Schedule" sheetId="3" r:id="rId3"/>
    <sheet name="Product Launch Schedule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F7" i="4" l="1"/>
  <c r="F6" i="4" a="1"/>
  <c r="F6" i="4" s="1"/>
  <c r="I11" i="4"/>
  <c r="H11" i="4"/>
  <c r="I10" i="4"/>
  <c r="H10" i="4"/>
  <c r="I9" i="4"/>
  <c r="H9" i="4"/>
  <c r="I8" i="4"/>
  <c r="H8" i="4"/>
  <c r="I7" i="4"/>
  <c r="H7" i="4"/>
  <c r="I6" i="4"/>
  <c r="H6" i="4"/>
  <c r="I5" i="4"/>
  <c r="H5" i="4"/>
  <c r="F4" i="4"/>
  <c r="I4" i="4"/>
  <c r="H4" i="4"/>
  <c r="E18" i="3"/>
  <c r="C13" i="3"/>
  <c r="B18" i="3" s="1"/>
  <c r="B14" i="3"/>
  <c r="C14" i="3" s="1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K19" i="2"/>
  <c r="K18" i="2"/>
  <c r="K17" i="2"/>
  <c r="K16" i="2"/>
  <c r="K15" i="2"/>
  <c r="K14" i="2"/>
  <c r="K13" i="2"/>
  <c r="K12" i="2"/>
  <c r="K11" i="2"/>
  <c r="K10" i="2"/>
  <c r="K9" i="2"/>
  <c r="K8" i="2"/>
  <c r="K7" i="2"/>
  <c r="K6" i="2"/>
  <c r="L5" i="2"/>
  <c r="K5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H54" i="1"/>
  <c r="I54" i="1" s="1"/>
  <c r="J54" i="1" s="1"/>
  <c r="H53" i="1"/>
  <c r="I53" i="1" s="1"/>
  <c r="J53" i="1" s="1"/>
  <c r="H52" i="1"/>
  <c r="I52" i="1" s="1"/>
  <c r="J52" i="1" s="1"/>
  <c r="H51" i="1"/>
  <c r="I51" i="1" s="1"/>
  <c r="J51" i="1" s="1"/>
  <c r="I50" i="1"/>
  <c r="J50" i="1" s="1"/>
  <c r="H50" i="1"/>
  <c r="H49" i="1"/>
  <c r="I49" i="1" s="1"/>
  <c r="J49" i="1" s="1"/>
  <c r="H48" i="1"/>
  <c r="I48" i="1" s="1"/>
  <c r="J48" i="1" s="1"/>
  <c r="H47" i="1"/>
  <c r="I47" i="1" s="1"/>
  <c r="J47" i="1" s="1"/>
  <c r="I46" i="1"/>
  <c r="J46" i="1" s="1"/>
  <c r="H46" i="1"/>
  <c r="H45" i="1"/>
  <c r="I45" i="1" s="1"/>
  <c r="J45" i="1" s="1"/>
  <c r="H44" i="1"/>
  <c r="I44" i="1" s="1"/>
  <c r="J44" i="1" s="1"/>
  <c r="H43" i="1"/>
  <c r="I43" i="1" s="1"/>
  <c r="J43" i="1" s="1"/>
  <c r="I42" i="1"/>
  <c r="J42" i="1" s="1"/>
  <c r="H42" i="1"/>
  <c r="H41" i="1"/>
  <c r="I41" i="1" s="1"/>
  <c r="J41" i="1" s="1"/>
  <c r="H40" i="1"/>
  <c r="I40" i="1" s="1"/>
  <c r="J40" i="1" s="1"/>
  <c r="H39" i="1"/>
  <c r="I39" i="1" s="1"/>
  <c r="J39" i="1" s="1"/>
  <c r="I38" i="1"/>
  <c r="J38" i="1" s="1"/>
  <c r="H38" i="1"/>
  <c r="H37" i="1"/>
  <c r="I37" i="1" s="1"/>
  <c r="J37" i="1" s="1"/>
  <c r="H36" i="1"/>
  <c r="I36" i="1" s="1"/>
  <c r="J36" i="1" s="1"/>
  <c r="H35" i="1"/>
  <c r="I35" i="1" s="1"/>
  <c r="J35" i="1" s="1"/>
  <c r="I34" i="1"/>
  <c r="J34" i="1" s="1"/>
  <c r="H34" i="1"/>
  <c r="H33" i="1"/>
  <c r="I33" i="1" s="1"/>
  <c r="J33" i="1" s="1"/>
  <c r="H32" i="1"/>
  <c r="I32" i="1" s="1"/>
  <c r="J32" i="1" s="1"/>
  <c r="H31" i="1"/>
  <c r="I31" i="1" s="1"/>
  <c r="J31" i="1" s="1"/>
  <c r="I30" i="1"/>
  <c r="J30" i="1" s="1"/>
  <c r="H30" i="1"/>
  <c r="H29" i="1"/>
  <c r="I29" i="1" s="1"/>
  <c r="J29" i="1" s="1"/>
  <c r="H28" i="1"/>
  <c r="I28" i="1" s="1"/>
  <c r="J28" i="1" s="1"/>
  <c r="H27" i="1"/>
  <c r="I27" i="1" s="1"/>
  <c r="J27" i="1" s="1"/>
  <c r="I26" i="1"/>
  <c r="J26" i="1" s="1"/>
  <c r="H26" i="1"/>
  <c r="H25" i="1"/>
  <c r="I25" i="1" s="1"/>
  <c r="J25" i="1" s="1"/>
  <c r="H24" i="1"/>
  <c r="I24" i="1" s="1"/>
  <c r="J24" i="1" s="1"/>
  <c r="H23" i="1"/>
  <c r="I23" i="1" s="1"/>
  <c r="J23" i="1" s="1"/>
  <c r="I22" i="1"/>
  <c r="J22" i="1" s="1"/>
  <c r="H22" i="1"/>
  <c r="H21" i="1"/>
  <c r="I21" i="1" s="1"/>
  <c r="J21" i="1" s="1"/>
  <c r="H20" i="1"/>
  <c r="I20" i="1" s="1"/>
  <c r="J20" i="1" s="1"/>
  <c r="H19" i="1"/>
  <c r="I19" i="1" s="1"/>
  <c r="J19" i="1" s="1"/>
  <c r="I18" i="1"/>
  <c r="J18" i="1" s="1"/>
  <c r="H18" i="1"/>
  <c r="H17" i="1"/>
  <c r="I17" i="1" s="1"/>
  <c r="J17" i="1" s="1"/>
  <c r="H16" i="1"/>
  <c r="I16" i="1" s="1"/>
  <c r="J16" i="1" s="1"/>
  <c r="H15" i="1"/>
  <c r="I15" i="1" s="1"/>
  <c r="J15" i="1" s="1"/>
  <c r="I14" i="1"/>
  <c r="J14" i="1" s="1"/>
  <c r="H14" i="1"/>
  <c r="H13" i="1"/>
  <c r="I13" i="1" s="1"/>
  <c r="J13" i="1" s="1"/>
  <c r="H12" i="1"/>
  <c r="I12" i="1" s="1"/>
  <c r="J12" i="1" s="1"/>
  <c r="H11" i="1"/>
  <c r="I11" i="1" s="1"/>
  <c r="J11" i="1" s="1"/>
  <c r="I10" i="1"/>
  <c r="J10" i="1" s="1"/>
  <c r="H10" i="1"/>
  <c r="H9" i="1"/>
  <c r="I9" i="1" s="1"/>
  <c r="J9" i="1" s="1"/>
  <c r="H8" i="1"/>
  <c r="I8" i="1" s="1"/>
  <c r="J8" i="1" s="1"/>
  <c r="H7" i="1"/>
  <c r="I7" i="1" s="1"/>
  <c r="J7" i="1" s="1"/>
  <c r="I6" i="1"/>
  <c r="J6" i="1" s="1"/>
  <c r="H6" i="1"/>
  <c r="I5" i="1"/>
  <c r="J5" i="1" s="1"/>
  <c r="H5" i="1"/>
  <c r="G4" i="4" l="1"/>
  <c r="F5" i="4" s="1" a="1"/>
  <c r="F5" i="4" s="1"/>
  <c r="G5" i="4" s="1"/>
  <c r="C18" i="3"/>
  <c r="B19" i="3" s="1"/>
  <c r="C19" i="3" s="1"/>
  <c r="B15" i="3"/>
  <c r="C15" i="3" s="1"/>
  <c r="B16" i="3" s="1"/>
  <c r="C16" i="3" s="1"/>
  <c r="B17" i="3" s="1"/>
  <c r="C17" i="3" s="1"/>
  <c r="G6" i="4" l="1"/>
  <c r="G7" i="4"/>
  <c r="F8" i="4" a="1"/>
  <c r="F8" i="4" s="1"/>
  <c r="G8" i="4" s="1"/>
  <c r="F9" i="4" s="1" a="1"/>
  <c r="F9" i="4" s="1"/>
  <c r="G9" i="4" s="1"/>
  <c r="F10" i="4" a="1"/>
  <c r="F10" i="4" s="1"/>
  <c r="G10" i="4" s="1"/>
  <c r="F11" i="4" l="1" a="1"/>
  <c r="F11" i="4" s="1"/>
  <c r="G11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<sst xmlns="http://schemas.openxmlformats.org/spreadsheetml/2006/main" count="331" uniqueCount="225">
  <si>
    <t>STUDENT PERFORMANCE SAMPLE</t>
  </si>
  <si>
    <t>50 sample records | Scores out of 100 | Pass requires 40 average and 35 in every subject</t>
  </si>
  <si>
    <t>Student ID</t>
  </si>
  <si>
    <t>Student Name</t>
  </si>
  <si>
    <t>Section</t>
  </si>
  <si>
    <t>Mathematics</t>
  </si>
  <si>
    <t>Science</t>
  </si>
  <si>
    <t>English</t>
  </si>
  <si>
    <t>Attendance</t>
  </si>
  <si>
    <t>Total</t>
  </si>
  <si>
    <t>Average</t>
  </si>
  <si>
    <t>Result</t>
  </si>
  <si>
    <t>STU-001</t>
  </si>
  <si>
    <t>Aarav Sharma</t>
  </si>
  <si>
    <t>A</t>
  </si>
  <si>
    <t>STU-002</t>
  </si>
  <si>
    <t>Aditi Kulkarni</t>
  </si>
  <si>
    <t>B</t>
  </si>
  <si>
    <t>STU-003</t>
  </si>
  <si>
    <t>Aditya Gupta</t>
  </si>
  <si>
    <t>C</t>
  </si>
  <si>
    <t>STU-004</t>
  </si>
  <si>
    <t>Ananya Verma</t>
  </si>
  <si>
    <t>STU-005</t>
  </si>
  <si>
    <t>Arjun Singh</t>
  </si>
  <si>
    <t>STU-006</t>
  </si>
  <si>
    <t>Avni Joshi</t>
  </si>
  <si>
    <t>STU-007</t>
  </si>
  <si>
    <t>Dev Nair</t>
  </si>
  <si>
    <t>STU-008</t>
  </si>
  <si>
    <t>Diya Patel</t>
  </si>
  <si>
    <t>STU-009</t>
  </si>
  <si>
    <t>Ishaan Mehta</t>
  </si>
  <si>
    <t>STU-010</t>
  </si>
  <si>
    <t>Kavya Deshmukh</t>
  </si>
  <si>
    <t>STU-011</t>
  </si>
  <si>
    <t>Krishna Sharma</t>
  </si>
  <si>
    <t>STU-012</t>
  </si>
  <si>
    <t>Meera Kulkarni</t>
  </si>
  <si>
    <t>STU-013</t>
  </si>
  <si>
    <t>Neha Gupta</t>
  </si>
  <si>
    <t>STU-014</t>
  </si>
  <si>
    <t>Nikhil Verma</t>
  </si>
  <si>
    <t>STU-015</t>
  </si>
  <si>
    <t>Priya Singh</t>
  </si>
  <si>
    <t>STU-016</t>
  </si>
  <si>
    <t>Rahul Joshi</t>
  </si>
  <si>
    <t>STU-017</t>
  </si>
  <si>
    <t>Riya Nair</t>
  </si>
  <si>
    <t>STU-018</t>
  </si>
  <si>
    <t>Rohan Patel</t>
  </si>
  <si>
    <t>STU-019</t>
  </si>
  <si>
    <t>Saanvi Mehta</t>
  </si>
  <si>
    <t>STU-020</t>
  </si>
  <si>
    <t>Siddharth Deshmukh</t>
  </si>
  <si>
    <t>STU-021</t>
  </si>
  <si>
    <t>Tanvi Sharma</t>
  </si>
  <si>
    <t>STU-022</t>
  </si>
  <si>
    <t>Ved Kulkarni</t>
  </si>
  <si>
    <t>STU-023</t>
  </si>
  <si>
    <t>Vihaan Gupta</t>
  </si>
  <si>
    <t>STU-024</t>
  </si>
  <si>
    <t>Yash Verma</t>
  </si>
  <si>
    <t>STU-025</t>
  </si>
  <si>
    <t>Zoya Singh</t>
  </si>
  <si>
    <t>STU-026</t>
  </si>
  <si>
    <t>Aarav Joshi</t>
  </si>
  <si>
    <t>STU-027</t>
  </si>
  <si>
    <t>Aditi Nair</t>
  </si>
  <si>
    <t>STU-028</t>
  </si>
  <si>
    <t>Aditya Patel</t>
  </si>
  <si>
    <t>STU-029</t>
  </si>
  <si>
    <t>Ananya Mehta</t>
  </si>
  <si>
    <t>STU-030</t>
  </si>
  <si>
    <t>Arjun Deshmukh</t>
  </si>
  <si>
    <t>STU-031</t>
  </si>
  <si>
    <t>Avni Sharma</t>
  </si>
  <si>
    <t>STU-032</t>
  </si>
  <si>
    <t>Dev Kulkarni</t>
  </si>
  <si>
    <t>STU-033</t>
  </si>
  <si>
    <t>Diya Gupta</t>
  </si>
  <si>
    <t>STU-034</t>
  </si>
  <si>
    <t>Ishaan Verma</t>
  </si>
  <si>
    <t>STU-035</t>
  </si>
  <si>
    <t>Kavya Singh</t>
  </si>
  <si>
    <t>STU-036</t>
  </si>
  <si>
    <t>Krishna Joshi</t>
  </si>
  <si>
    <t>STU-037</t>
  </si>
  <si>
    <t>Meera Nair</t>
  </si>
  <si>
    <t>STU-038</t>
  </si>
  <si>
    <t>Neha Patel</t>
  </si>
  <si>
    <t>STU-039</t>
  </si>
  <si>
    <t>Nikhil Mehta</t>
  </si>
  <si>
    <t>STU-040</t>
  </si>
  <si>
    <t>Priya Deshmukh</t>
  </si>
  <si>
    <t>STU-041</t>
  </si>
  <si>
    <t>Rahul Sharma</t>
  </si>
  <si>
    <t>STU-042</t>
  </si>
  <si>
    <t>Riya Kulkarni</t>
  </si>
  <si>
    <t>STU-043</t>
  </si>
  <si>
    <t>Rohan Gupta</t>
  </si>
  <si>
    <t>STU-044</t>
  </si>
  <si>
    <t>Saanvi Verma</t>
  </si>
  <si>
    <t>STU-045</t>
  </si>
  <si>
    <t>Siddharth Singh</t>
  </si>
  <si>
    <t>STU-046</t>
  </si>
  <si>
    <t>Tanvi Joshi</t>
  </si>
  <si>
    <t>STU-047</t>
  </si>
  <si>
    <t>Ved Nair</t>
  </si>
  <si>
    <t>STU-048</t>
  </si>
  <si>
    <t>Vihaan Patel</t>
  </si>
  <si>
    <t>STU-049</t>
  </si>
  <si>
    <t>Yash Mehta</t>
  </si>
  <si>
    <t>STU-050</t>
  </si>
  <si>
    <t>Zoya Deshmukh</t>
  </si>
  <si>
    <t>SOFTWARE PROJECT GANTT DATASET</t>
  </si>
  <si>
    <t>Sample schedule with linked tasks, working-day durations, progress, and calculated finish dates</t>
  </si>
  <si>
    <t>Task ID</t>
  </si>
  <si>
    <t>Phase</t>
  </si>
  <si>
    <t>Task</t>
  </si>
  <si>
    <t>Owner</t>
  </si>
  <si>
    <t>Start Date</t>
  </si>
  <si>
    <t>Duration (Days)</t>
  </si>
  <si>
    <t>End Date</t>
  </si>
  <si>
    <t>Progress</t>
  </si>
  <si>
    <t>Status</t>
  </si>
  <si>
    <t>Dependency</t>
  </si>
  <si>
    <t>T01</t>
  </si>
  <si>
    <t>Initiation</t>
  </si>
  <si>
    <t>Project kickoff</t>
  </si>
  <si>
    <t>Project Manager</t>
  </si>
  <si>
    <t>Completed</t>
  </si>
  <si>
    <t>None</t>
  </si>
  <si>
    <t>T02</t>
  </si>
  <si>
    <t>Requirements gathering</t>
  </si>
  <si>
    <t>Business Analyst</t>
  </si>
  <si>
    <t>In Progress</t>
  </si>
  <si>
    <t>T03</t>
  </si>
  <si>
    <t>Planning</t>
  </si>
  <si>
    <t>Scope approval</t>
  </si>
  <si>
    <t>Project Sponsor</t>
  </si>
  <si>
    <t>T04</t>
  </si>
  <si>
    <t>Solution design</t>
  </si>
  <si>
    <t>Solution Architect</t>
  </si>
  <si>
    <t>T05</t>
  </si>
  <si>
    <t>Design</t>
  </si>
  <si>
    <t>UI/UX wireframes</t>
  </si>
  <si>
    <t>UX Designer</t>
  </si>
  <si>
    <t>T06</t>
  </si>
  <si>
    <t>Database design</t>
  </si>
  <si>
    <t>Data Engineer</t>
  </si>
  <si>
    <t>Not Started</t>
  </si>
  <si>
    <t>T07</t>
  </si>
  <si>
    <t>Development</t>
  </si>
  <si>
    <t>Backend development</t>
  </si>
  <si>
    <t>Backend Developer</t>
  </si>
  <si>
    <t>T08</t>
  </si>
  <si>
    <t>Frontend development</t>
  </si>
  <si>
    <t>Frontend Developer</t>
  </si>
  <si>
    <t>T09</t>
  </si>
  <si>
    <t>System integration</t>
  </si>
  <si>
    <t>Tech Lead</t>
  </si>
  <si>
    <t>T07, T08</t>
  </si>
  <si>
    <t>T10</t>
  </si>
  <si>
    <t>Testing</t>
  </si>
  <si>
    <t>Test case preparation</t>
  </si>
  <si>
    <t>QA Analyst</t>
  </si>
  <si>
    <t>T04, T05</t>
  </si>
  <si>
    <t>T11</t>
  </si>
  <si>
    <t>Functional testing</t>
  </si>
  <si>
    <t>QA Team</t>
  </si>
  <si>
    <t>T09, T10</t>
  </si>
  <si>
    <t>T12</t>
  </si>
  <si>
    <t>User acceptance testing</t>
  </si>
  <si>
    <t>Business Users</t>
  </si>
  <si>
    <t>T13</t>
  </si>
  <si>
    <t>Deployment</t>
  </si>
  <si>
    <t>Production setup</t>
  </si>
  <si>
    <t>DevOps Engineer</t>
  </si>
  <si>
    <t>T14</t>
  </si>
  <si>
    <t>Go-live deployment</t>
  </si>
  <si>
    <t>T12, T13</t>
  </si>
  <si>
    <t>T15</t>
  </si>
  <si>
    <t>Closure</t>
  </si>
  <si>
    <t>Training and handover</t>
  </si>
  <si>
    <t>Duration</t>
  </si>
  <si>
    <t>Start Date2</t>
  </si>
  <si>
    <t>no.</t>
  </si>
  <si>
    <t>activity</t>
  </si>
  <si>
    <t>weeks</t>
  </si>
  <si>
    <t>arrangement</t>
  </si>
  <si>
    <t>Buy the raw material</t>
  </si>
  <si>
    <t>Previous stage</t>
  </si>
  <si>
    <t>Melting</t>
  </si>
  <si>
    <t>Raw material</t>
  </si>
  <si>
    <t>Refining</t>
  </si>
  <si>
    <t>1 and 2</t>
  </si>
  <si>
    <t>Casting</t>
  </si>
  <si>
    <t>1, 2 and 3</t>
  </si>
  <si>
    <t>Rolling</t>
  </si>
  <si>
    <t>1, 2, 3, 4</t>
  </si>
  <si>
    <t>Quality control</t>
  </si>
  <si>
    <t>Shipping</t>
  </si>
  <si>
    <t>1 to 6</t>
  </si>
  <si>
    <t>duration</t>
  </si>
  <si>
    <t>Start Week</t>
  </si>
  <si>
    <t>Finish Week</t>
  </si>
  <si>
    <t>Activity</t>
  </si>
  <si>
    <t>Duration (Weeks)</t>
  </si>
  <si>
    <t>Market Research</t>
  </si>
  <si>
    <t>Product Design &amp; Function Prototype</t>
  </si>
  <si>
    <t>Pricing Strategy</t>
  </si>
  <si>
    <t>Packaging Design</t>
  </si>
  <si>
    <t>Marketing Content Creation</t>
  </si>
  <si>
    <t>Digital Advertising Setup</t>
  </si>
  <si>
    <t>Sales Team Training</t>
  </si>
  <si>
    <t>Product Launch Event</t>
  </si>
  <si>
    <t>3, 4, 6, 7</t>
  </si>
  <si>
    <t>no,</t>
  </si>
  <si>
    <t>previous stage</t>
  </si>
  <si>
    <t>PRODUCT LAUNCH GANTT SCHEDULE</t>
  </si>
  <si>
    <t>Dependency-based timeline for the selected launch activities; all dates are relative working days.</t>
  </si>
  <si>
    <t>Previous Stage</t>
  </si>
  <si>
    <t>Start Day</t>
  </si>
  <si>
    <t>Finish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</si>
</sst>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dd/mmm/yyyy"/>
  </numFmts>
  <fonts count="7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8"/>
      <color rgb="FFFFFFFF"/>
      <name val="Aptos Narrow"/>
      <family val="2"/>
      <scheme val="minor"/>
    </font>
    <font>
      <i/>
      <sz val="11"/>
      <color rgb="FF666666"/>
      <name val="Aptos Narrow"/>
      <family val="2"/>
      <scheme val="minor"/>
    </font>
    <font>
      <i/>
      <sz val="10"/>
      <color rgb="FF666666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rgb="FFFFFFFF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1F4E78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17365D"/>
        <bgColor indexed="64"/>
      </patternFill>
    </fill>
    <fill>
      <patternFill patternType="solid">
        <fgColor rgb="FF2F75B5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4" borderId="0" xfId="0" applyFont="1" applyFill="1" applyAlignment="1">
      <alignment horizontal="center"/>
    </xf>
    <xf numFmtId="1" fontId="0" fillId="0" borderId="0" xfId="0" applyNumberFormat="1"/>
    <xf numFmtId="1" fontId="0" fillId="0" borderId="0" xfId="0" applyNumberFormat="1" applyAlignment="1">
      <alignment horizontal="right"/>
    </xf>
    <xf numFmtId="9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165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1" fillId="6" borderId="5" xfId="0" applyFont="1" applyFill="1" applyBorder="1" applyAlignment="1">
      <alignment horizontal="center" vertical="center"/>
    </xf>
    <xf numFmtId="0" fontId="1" fillId="6" borderId="6" xfId="0" applyFont="1" applyFill="1" applyBorder="1" applyAlignment="1">
      <alignment horizontal="center" vertical="center"/>
    </xf>
    <xf numFmtId="0" fontId="1" fillId="6" borderId="7" xfId="0" applyFont="1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 wrapText="1"/>
    </xf>
    <xf numFmtId="1" fontId="0" fillId="2" borderId="6" xfId="0" applyNumberFormat="1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1" fontId="0" fillId="2" borderId="7" xfId="0" applyNumberFormat="1" applyFill="1" applyBorder="1" applyAlignment="1">
      <alignment horizontal="center" vertical="center"/>
    </xf>
    <xf numFmtId="1" fontId="0" fillId="0" borderId="5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1" fontId="0" fillId="0" borderId="6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" fontId="0" fillId="0" borderId="7" xfId="0" applyNumberFormat="1" applyBorder="1" applyAlignment="1">
      <alignment horizontal="center" vertical="center"/>
    </xf>
    <xf numFmtId="1" fontId="0" fillId="0" borderId="3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4" fillId="0" borderId="0" xfId="0" applyFont="1" applyAlignment="1">
      <alignment horizontal="center"/>
    </xf>
    <xf numFmtId="0" fontId="2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2" fillId="5" borderId="0" xfId="0" applyFont="1" applyFill="1" applyAlignment="1">
      <alignment horizontal="center" vertical="center"/>
    </xf>
    <xf numFmtId="0" fontId="4" fillId="0" borderId="0" xfId="0" applyFont="1" applyAlignment="1">
      <alignment horizontal="center" wrapText="1"/>
    </xf>
  </cellXfs>
  <cellStyles count="1">
    <cellStyle name="Normal" xfId="0" builtinId="0"/>
  </cellStyles>
  <dxfs count="22">
    <dxf>
      <font>
        <color rgb="FF7F6000"/>
      </font>
      <fill>
        <patternFill patternType="solid">
          <fgColor indexed="64"/>
          <bgColor rgb="FFFFF2CC"/>
        </patternFill>
      </fill>
    </dxf>
    <dxf>
      <font>
        <color rgb="FF375623"/>
      </font>
      <fill>
        <patternFill patternType="solid">
          <fgColor indexed="64"/>
          <bgColor rgb="FFE2F0D9"/>
        </patternFill>
      </fill>
    </dxf>
    <dxf>
      <font>
        <color rgb="FF9C0006"/>
      </font>
      <fill>
        <patternFill patternType="solid">
          <fgColor indexed="64"/>
          <bgColor rgb="FFFCE4D6"/>
        </patternFill>
      </fill>
    </dxf>
    <dxf>
      <font>
        <color rgb="FF375623"/>
      </font>
      <fill>
        <patternFill patternType="solid">
          <fgColor indexed="64"/>
          <bgColor rgb="FFE2F0D9"/>
        </patternFill>
      </fill>
    </dxf>
    <dxf>
      <numFmt numFmtId="1" formatCode="0"/>
    </dxf>
    <dxf>
      <numFmt numFmtId="165" formatCode="dd/mmm/yyyy"/>
    </dxf>
    <dxf>
      <numFmt numFmtId="13" formatCode="0%"/>
      <alignment horizontal="right"/>
    </dxf>
    <dxf>
      <numFmt numFmtId="165" formatCode="dd/mmm/yyyy"/>
      <alignment horizontal="right"/>
    </dxf>
    <dxf>
      <numFmt numFmtId="1" formatCode="0"/>
      <alignment horizontal="right"/>
    </dxf>
    <dxf>
      <numFmt numFmtId="165" formatCode="dd/mmm/yyyy"/>
      <alignment horizontal="right"/>
    </dxf>
    <dxf>
      <font>
        <b/>
        <color rgb="FFFFFFFF"/>
      </font>
      <fill>
        <patternFill patternType="solid">
          <fgColor indexed="64"/>
          <bgColor rgb="FF4472C4"/>
        </patternFill>
      </fill>
      <alignment horizontal="center"/>
    </dxf>
    <dxf>
      <numFmt numFmtId="0" formatCode="General"/>
      <alignment horizontal="center"/>
    </dxf>
    <dxf>
      <numFmt numFmtId="164" formatCode="0.0"/>
      <alignment horizontal="right"/>
    </dxf>
    <dxf>
      <numFmt numFmtId="1" formatCode="0"/>
      <alignment horizontal="right"/>
    </dxf>
    <dxf>
      <numFmt numFmtId="13" formatCode="0%"/>
      <alignment horizontal="right"/>
    </dxf>
    <dxf>
      <numFmt numFmtId="1" formatCode="0"/>
      <alignment horizontal="right"/>
    </dxf>
    <dxf>
      <numFmt numFmtId="1" formatCode="0"/>
      <alignment horizontal="right"/>
    </dxf>
    <dxf>
      <numFmt numFmtId="1" formatCode="0"/>
      <alignment horizontal="right"/>
    </dxf>
    <dxf>
      <alignment horizontal="left"/>
    </dxf>
    <dxf>
      <alignment horizontal="left"/>
    </dxf>
    <dxf>
      <alignment horizontal="left"/>
    </dxf>
    <dxf>
      <font>
        <b/>
        <color rgb="FFFFFFFF"/>
      </font>
      <fill>
        <patternFill patternType="solid">
          <fgColor indexed="64"/>
          <bgColor rgb="FF4472C4"/>
        </patternFill>
      </fill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Software Project Timeline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Schedule'!$K$4</c:f>
              <c:strCache>
                <c:ptCount val="1"/>
                <c:pt idx="0">
                  <c:v>Start Date2</c:v>
                </c:pt>
              </c:strCache>
            </c:strRef>
          </c:tx>
          <c:spPr>
            <a:noFill/>
            <a:ln w="25400">
              <a:noFill/>
            </a:ln>
            <a:effectLst/>
          </c:spPr>
          <c:invertIfNegative val="0"/>
          <c:cat>
            <c:strRef>
              <c:f>'Project Schedule'!$C$5:$C$19</c:f>
              <c:strCache>
                <c:ptCount val="15"/>
                <c:pt idx="0">
                  <c:v>Project kickoff</c:v>
                </c:pt>
                <c:pt idx="1">
                  <c:v>Requirements gathering</c:v>
                </c:pt>
                <c:pt idx="2">
                  <c:v>Scope approval</c:v>
                </c:pt>
                <c:pt idx="3">
                  <c:v>Solution design</c:v>
                </c:pt>
                <c:pt idx="4">
                  <c:v>UI/UX wireframes</c:v>
                </c:pt>
                <c:pt idx="5">
                  <c:v>Database design</c:v>
                </c:pt>
                <c:pt idx="6">
                  <c:v>Backend development</c:v>
                </c:pt>
                <c:pt idx="7">
                  <c:v>Frontend development</c:v>
                </c:pt>
                <c:pt idx="8">
                  <c:v>System integration</c:v>
                </c:pt>
                <c:pt idx="9">
                  <c:v>Test case preparation</c:v>
                </c:pt>
                <c:pt idx="10">
                  <c:v>Functional testing</c:v>
                </c:pt>
                <c:pt idx="11">
                  <c:v>User acceptance testing</c:v>
                </c:pt>
                <c:pt idx="12">
                  <c:v>Production setup</c:v>
                </c:pt>
                <c:pt idx="13">
                  <c:v>Go-live deployment</c:v>
                </c:pt>
                <c:pt idx="14">
                  <c:v>Training and handover</c:v>
                </c:pt>
              </c:strCache>
            </c:strRef>
          </c:cat>
          <c:val>
            <c:numRef>
              <c:f>'Project Schedule'!$K$5:$K$19</c:f>
              <c:numCache>
                <c:formatCode>dd/mmm/yyyy</c:formatCode>
                <c:ptCount val="15"/>
                <c:pt idx="0">
                  <c:v>46266</c:v>
                </c:pt>
                <c:pt idx="1">
                  <c:v>46268</c:v>
                </c:pt>
                <c:pt idx="2">
                  <c:v>46275</c:v>
                </c:pt>
                <c:pt idx="3">
                  <c:v>46279</c:v>
                </c:pt>
                <c:pt idx="4">
                  <c:v>46279</c:v>
                </c:pt>
                <c:pt idx="5">
                  <c:v>46287</c:v>
                </c:pt>
                <c:pt idx="6">
                  <c:v>46293</c:v>
                </c:pt>
                <c:pt idx="7">
                  <c:v>46287</c:v>
                </c:pt>
                <c:pt idx="8">
                  <c:v>46307</c:v>
                </c:pt>
                <c:pt idx="9">
                  <c:v>46300</c:v>
                </c:pt>
                <c:pt idx="10">
                  <c:v>46314</c:v>
                </c:pt>
                <c:pt idx="11">
                  <c:v>46323</c:v>
                </c:pt>
                <c:pt idx="12">
                  <c:v>46323</c:v>
                </c:pt>
                <c:pt idx="13">
                  <c:v>46330</c:v>
                </c:pt>
                <c:pt idx="14">
                  <c:v>46332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88-4991-B1F0-BCDB1E162201}"/>
            </c:ext>
          </c:extLst>
        </c:ser>
        <c:ser>
          <c:idx val="1"/>
          <c:order val="1"/>
          <c:tx>
            <c:v>Duration</c:v>
          </c:tx>
          <c:spPr>
            <a:solidFill>
              <a:srgbClr val="4472C4"/>
            </a:solidFill>
            <a:ln>
              <a:solidFill>
                <a:srgbClr val="2F5597"/>
              </a:solidFill>
              <a:prstDash val="solid"/>
            </a:ln>
            <a:effectLst/>
          </c:spPr>
          <c:invertIfNegative val="0"/>
          <c:dLbls>
            <c:numFmt formatCode="0\ &quot;days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FFFF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'Project Schedule'!$C$5:$C$19</c:f>
              <c:strCache>
                <c:ptCount val="15"/>
                <c:pt idx="0">
                  <c:v>Project kickoff</c:v>
                </c:pt>
                <c:pt idx="1">
                  <c:v>Requirements gathering</c:v>
                </c:pt>
                <c:pt idx="2">
                  <c:v>Scope approval</c:v>
                </c:pt>
                <c:pt idx="3">
                  <c:v>Solution design</c:v>
                </c:pt>
                <c:pt idx="4">
                  <c:v>UI/UX wireframes</c:v>
                </c:pt>
                <c:pt idx="5">
                  <c:v>Database design</c:v>
                </c:pt>
                <c:pt idx="6">
                  <c:v>Backend development</c:v>
                </c:pt>
                <c:pt idx="7">
                  <c:v>Frontend development</c:v>
                </c:pt>
                <c:pt idx="8">
                  <c:v>System integration</c:v>
                </c:pt>
                <c:pt idx="9">
                  <c:v>Test case preparation</c:v>
                </c:pt>
                <c:pt idx="10">
                  <c:v>Functional testing</c:v>
                </c:pt>
                <c:pt idx="11">
                  <c:v>User acceptance testing</c:v>
                </c:pt>
                <c:pt idx="12">
                  <c:v>Production setup</c:v>
                </c:pt>
                <c:pt idx="13">
                  <c:v>Go-live deployment</c:v>
                </c:pt>
                <c:pt idx="14">
                  <c:v>Training and handover</c:v>
                </c:pt>
              </c:strCache>
            </c:strRef>
          </c:cat>
          <c:val>
            <c:numRef>
              <c:f>'Project Schedule'!$L$5:$L$19</c:f>
              <c:numCache>
                <c:formatCode>0</c:formatCode>
                <c:ptCount val="15"/>
                <c:pt idx="0">
                  <c:v>2</c:v>
                </c:pt>
                <c:pt idx="1">
                  <c:v>5</c:v>
                </c:pt>
                <c:pt idx="2">
                  <c:v>2</c:v>
                </c:pt>
                <c:pt idx="3">
                  <c:v>6</c:v>
                </c:pt>
                <c:pt idx="4">
                  <c:v>5</c:v>
                </c:pt>
                <c:pt idx="5">
                  <c:v>4</c:v>
                </c:pt>
                <c:pt idx="6">
                  <c:v>10</c:v>
                </c:pt>
                <c:pt idx="7">
                  <c:v>10</c:v>
                </c:pt>
                <c:pt idx="8">
                  <c:v>5</c:v>
                </c:pt>
                <c:pt idx="9">
                  <c:v>5</c:v>
                </c:pt>
                <c:pt idx="10">
                  <c:v>7</c:v>
                </c:pt>
                <c:pt idx="11">
                  <c:v>5</c:v>
                </c:pt>
                <c:pt idx="12">
                  <c:v>4</c:v>
                </c:pt>
                <c:pt idx="13">
                  <c:v>2</c:v>
                </c:pt>
                <c:pt idx="1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288-4991-B1F0-BCDB1E1622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5"/>
        <c:overlap val="100"/>
        <c:axId val="1844381919"/>
        <c:axId val="649668239"/>
      </c:barChart>
      <c:catAx>
        <c:axId val="1844381919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Project Tasks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668239"/>
        <c:crosses val="autoZero"/>
        <c:auto val="1"/>
        <c:lblAlgn val="ctr"/>
        <c:lblOffset val="100"/>
        <c:noMultiLvlLbl val="0"/>
      </c:catAx>
      <c:valAx>
        <c:axId val="649668239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rgbClr val="D9E2F3"/>
              </a:solidFill>
              <a:prstDash val="solid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Schedule 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d\-mmm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4381919"/>
        <c:crosses val="autoZero"/>
        <c:crossBetween val="between"/>
        <c:majorUnit val="7"/>
      </c:valAx>
      <c:spPr>
        <a:noFill/>
        <a:ln>
          <a:noFill/>
        </a:ln>
        <a:effectLst/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Manufacturing Process Timeline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'Manufacturing Schedule'!$B$12</c:f>
              <c:strCache>
                <c:ptCount val="1"/>
                <c:pt idx="0">
                  <c:v>Start Week</c:v>
                </c:pt>
              </c:strCache>
            </c:strRef>
          </c:tx>
          <c:spPr>
            <a:noFill/>
            <a:ln w="25400">
              <a:noFill/>
            </a:ln>
            <a:effectLst/>
          </c:spPr>
          <c:invertIfNegative val="0"/>
          <c:cat>
            <c:strRef>
              <c:f>'Manufacturing Schedule'!$D$13:$D$19</c:f>
              <c:strCache>
                <c:ptCount val="7"/>
                <c:pt idx="0">
                  <c:v>Buy the raw material</c:v>
                </c:pt>
                <c:pt idx="1">
                  <c:v>Melting</c:v>
                </c:pt>
                <c:pt idx="2">
                  <c:v>Refining</c:v>
                </c:pt>
                <c:pt idx="3">
                  <c:v>Casting</c:v>
                </c:pt>
                <c:pt idx="4">
                  <c:v>Rolling</c:v>
                </c:pt>
                <c:pt idx="5">
                  <c:v>Quality control</c:v>
                </c:pt>
                <c:pt idx="6">
                  <c:v>Shipping</c:v>
                </c:pt>
              </c:strCache>
            </c:strRef>
          </c:cat>
          <c:val>
            <c:numRef>
              <c:f>'Manufacturing Schedule'!$B$13:$B$19</c:f>
              <c:numCache>
                <c:formatCode>0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5</c:v>
                </c:pt>
                <c:pt idx="4">
                  <c:v>6</c:v>
                </c:pt>
                <c:pt idx="5">
                  <c:v>1</c:v>
                </c:pt>
                <c:pt idx="6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24-4F79-9F74-89CFFF34D6D7}"/>
            </c:ext>
          </c:extLst>
        </c:ser>
        <c:ser>
          <c:idx val="1"/>
          <c:order val="1"/>
          <c:tx>
            <c:v>Duration</c:v>
          </c:tx>
          <c:spPr>
            <a:solidFill>
              <a:srgbClr val="4472C4"/>
            </a:solidFill>
            <a:ln>
              <a:solidFill>
                <a:srgbClr val="2F5597"/>
              </a:solidFill>
              <a:prstDash val="solid"/>
            </a:ln>
            <a:effectLst/>
          </c:spPr>
          <c:invertIfNegative val="0"/>
          <c:dLbls>
            <c:numFmt formatCode="0\ &quot;wk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rgbClr val="FFFFFF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'Manufacturing Schedule'!$D$13:$D$19</c:f>
              <c:strCache>
                <c:ptCount val="7"/>
                <c:pt idx="0">
                  <c:v>Buy the raw material</c:v>
                </c:pt>
                <c:pt idx="1">
                  <c:v>Melting</c:v>
                </c:pt>
                <c:pt idx="2">
                  <c:v>Refining</c:v>
                </c:pt>
                <c:pt idx="3">
                  <c:v>Casting</c:v>
                </c:pt>
                <c:pt idx="4">
                  <c:v>Rolling</c:v>
                </c:pt>
                <c:pt idx="5">
                  <c:v>Quality control</c:v>
                </c:pt>
                <c:pt idx="6">
                  <c:v>Shipping</c:v>
                </c:pt>
              </c:strCache>
            </c:strRef>
          </c:cat>
          <c:val>
            <c:numRef>
              <c:f>'Manufacturing Schedule'!$E$13:$E$19</c:f>
              <c:numCache>
                <c:formatCode>0</c:formatCode>
                <c:ptCount val="7"/>
                <c:pt idx="0">
                  <c:v>1</c:v>
                </c:pt>
                <c:pt idx="1">
                  <c:v>1</c:v>
                </c:pt>
                <c:pt idx="2">
                  <c:v>3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24-4F79-9F74-89CFFF34D6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overlap val="100"/>
        <c:axId val="711311503"/>
        <c:axId val="649741679"/>
      </c:barChart>
      <c:catAx>
        <c:axId val="711311503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Activities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741679"/>
        <c:crosses val="autoZero"/>
        <c:auto val="1"/>
        <c:lblAlgn val="ctr"/>
        <c:lblOffset val="100"/>
        <c:noMultiLvlLbl val="0"/>
      </c:catAx>
      <c:valAx>
        <c:axId val="649741679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rgbClr val="D9E2F3"/>
              </a:solidFill>
              <a:prstDash val="solid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Project Week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1311503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 Launch Timeline</a:t>
            </a:r>
          </a:p>
        </c:rich>
      </c:tx>
      <c:layout>
        <c:manualLayout>
          <c:xMode val="edge"/>
          <c:yMode val="edge"/>
          <c:x val="0.42297092671108422"/>
          <c:y val="2.85947712418300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v>Start Day</c:v>
          </c:tx>
          <c:spPr>
            <a:noFill/>
            <a:ln w="25400">
              <a:noFill/>
            </a:ln>
            <a:effectLst/>
          </c:spPr>
          <c:invertIfNegative val="0"/>
          <c:cat>
            <c:strRef>
              <c:f>'Product Launch Schedule'!$H$4:$H$11</c:f>
              <c:strCache>
                <c:ptCount val="8"/>
                <c:pt idx="0">
                  <c:v>Market Research</c:v>
                </c:pt>
                <c:pt idx="1">
                  <c:v>Product Design &amp; Function Prototype</c:v>
                </c:pt>
                <c:pt idx="2">
                  <c:v>Pricing Strategy</c:v>
                </c:pt>
                <c:pt idx="3">
                  <c:v>Packaging Design</c:v>
                </c:pt>
                <c:pt idx="4">
                  <c:v>Marketing Content Creation</c:v>
                </c:pt>
                <c:pt idx="5">
                  <c:v>Digital Advertising Setup</c:v>
                </c:pt>
                <c:pt idx="6">
                  <c:v>Sales Team Training</c:v>
                </c:pt>
                <c:pt idx="7">
                  <c:v>Product Launch Event</c:v>
                </c:pt>
              </c:strCache>
            </c:strRef>
          </c:cat>
          <c:val>
            <c:numRef>
              <c:f>'Product Launch Schedule'!$F$4:$F$11</c:f>
              <c:numCache>
                <c:formatCode>0</c:formatCode>
                <c:ptCount val="8"/>
                <c:pt idx="0">
                  <c:v>0</c:v>
                </c:pt>
                <c:pt idx="1">
                  <c:v>5</c:v>
                </c:pt>
                <c:pt idx="2">
                  <c:v>9</c:v>
                </c:pt>
                <c:pt idx="3">
                  <c:v>15</c:v>
                </c:pt>
                <c:pt idx="4">
                  <c:v>9</c:v>
                </c:pt>
                <c:pt idx="5">
                  <c:v>16</c:v>
                </c:pt>
                <c:pt idx="6">
                  <c:v>15</c:v>
                </c:pt>
                <c:pt idx="7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1C-49E5-8EEB-63622E1FCD5E}"/>
            </c:ext>
          </c:extLst>
        </c:ser>
        <c:ser>
          <c:idx val="1"/>
          <c:order val="1"/>
          <c:tx>
            <c:v>Duration</c:v>
          </c:tx>
          <c:spPr>
            <a:solidFill>
              <a:srgbClr val="5B9BD5"/>
            </a:solidFill>
            <a:ln>
              <a:noFill/>
            </a:ln>
            <a:effectLst/>
          </c:spPr>
          <c:invertIfNegative val="0"/>
          <c:cat>
            <c:strRef>
              <c:f>'Product Launch Schedule'!$H$4:$H$11</c:f>
              <c:strCache>
                <c:ptCount val="8"/>
                <c:pt idx="0">
                  <c:v>Market Research</c:v>
                </c:pt>
                <c:pt idx="1">
                  <c:v>Product Design &amp; Function Prototype</c:v>
                </c:pt>
                <c:pt idx="2">
                  <c:v>Pricing Strategy</c:v>
                </c:pt>
                <c:pt idx="3">
                  <c:v>Packaging Design</c:v>
                </c:pt>
                <c:pt idx="4">
                  <c:v>Marketing Content Creation</c:v>
                </c:pt>
                <c:pt idx="5">
                  <c:v>Digital Advertising Setup</c:v>
                </c:pt>
                <c:pt idx="6">
                  <c:v>Sales Team Training</c:v>
                </c:pt>
                <c:pt idx="7">
                  <c:v>Product Launch Event</c:v>
                </c:pt>
              </c:strCache>
            </c:strRef>
          </c:cat>
          <c:val>
            <c:numRef>
              <c:f>'Product Launch Schedule'!$I$4:$I$11</c:f>
              <c:numCache>
                <c:formatCode>0</c:formatCode>
                <c:ptCount val="8"/>
                <c:pt idx="0">
                  <c:v>5</c:v>
                </c:pt>
                <c:pt idx="1">
                  <c:v>4</c:v>
                </c:pt>
                <c:pt idx="2">
                  <c:v>6</c:v>
                </c:pt>
                <c:pt idx="3">
                  <c:v>5</c:v>
                </c:pt>
                <c:pt idx="4">
                  <c:v>7</c:v>
                </c:pt>
                <c:pt idx="5">
                  <c:v>4</c:v>
                </c:pt>
                <c:pt idx="6">
                  <c:v>3</c:v>
                </c:pt>
                <c:pt idx="7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01C-49E5-8EEB-63622E1FCD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27792847"/>
        <c:axId val="649634639"/>
      </c:barChart>
      <c:catAx>
        <c:axId val="927792847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Activity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634639"/>
        <c:crosses val="autoZero"/>
        <c:auto val="1"/>
        <c:lblAlgn val="ctr"/>
        <c:lblOffset val="100"/>
        <c:noMultiLvlLbl val="0"/>
      </c:catAx>
      <c:valAx>
        <c:axId val="649634639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Timeline (Days)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779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19</xdr:row>
      <xdr:rowOff>182879</xdr:rowOff>
    </xdr:from>
    <xdr:to>
      <xdr:col>10</xdr:col>
      <xdr:colOff>0</xdr:colOff>
      <xdr:row>43</xdr:row>
      <xdr:rowOff>182879</xdr:rowOff>
    </xdr:to>
    <xdr:graphicFrame macro="">
      <xdr:nvGraphicFramePr>
        <xdr:cNvPr id="3" name="Project Gantt Chart">
          <a:extLst>
            <a:ext uri="{FF2B5EF4-FFF2-40B4-BE49-F238E27FC236}">
              <a16:creationId xmlns:a16="http://schemas.microsoft.com/office/drawing/2014/main" id="{FFE44A3E-2CF1-26AC-C9F0-D3AFB1D32C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141512</xdr:colOff>
      <xdr:row>21</xdr:row>
      <xdr:rowOff>32656</xdr:rowOff>
    </xdr:from>
    <xdr:to>
      <xdr:col>11</xdr:col>
      <xdr:colOff>141512</xdr:colOff>
      <xdr:row>41</xdr:row>
      <xdr:rowOff>32656</xdr:rowOff>
    </xdr:to>
    <xdr:graphicFrame macro="">
      <xdr:nvGraphicFramePr>
        <xdr:cNvPr id="2" name="Manufacturing Gantt Chart">
          <a:extLst>
            <a:ext uri="{FF2B5EF4-FFF2-40B4-BE49-F238E27FC236}">
              <a16:creationId xmlns:a16="http://schemas.microsoft.com/office/drawing/2014/main" id="{72CD53EA-844B-8718-2050-4DFD292C32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12</xdr:row>
      <xdr:rowOff>76200</xdr:rowOff>
    </xdr:from>
    <xdr:to>
      <xdr:col>7</xdr:col>
      <xdr:colOff>1058333</xdr:colOff>
      <xdr:row>29</xdr:row>
      <xdr:rowOff>76200</xdr:rowOff>
    </xdr:to>
    <xdr:graphicFrame macro="">
      <xdr:nvGraphicFramePr>
        <xdr:cNvPr id="2" name="Product Launch Gantt Chart">
          <a:extLst>
            <a:ext uri="{FF2B5EF4-FFF2-40B4-BE49-F238E27FC236}">
              <a16:creationId xmlns:a16="http://schemas.microsoft.com/office/drawing/2014/main" id="{1ED176A6-BA00-4A4D-5055-AF522189E8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BBF931-EA86-4D43-A556-246FB8F3E9B2}" name="StudentGrades" displayName="StudentGrades" ref="A4:J54" totalsRowShown="0" headerRowDxfId="21">
  <autoFilter ref="A4:J54" xr:uid="{4CBBF931-EA86-4D43-A556-246FB8F3E9B2}"/>
  <tableColumns count="10">
    <tableColumn id="1" xr3:uid="{D986D8BE-257F-44C5-99AD-435CD0D6D01B}" name="Student ID" dataDxfId="20"/>
    <tableColumn id="2" xr3:uid="{178309B3-0734-447D-A3D1-2925A6E5FD66}" name="Student Name" dataDxfId="19"/>
    <tableColumn id="3" xr3:uid="{B869230E-6345-441F-AF0C-7E29070B2E99}" name="Section" dataDxfId="18"/>
    <tableColumn id="4" xr3:uid="{B2D4CD35-C34B-421C-B589-ED697701DDC1}" name="Mathematics" dataDxfId="17"/>
    <tableColumn id="5" xr3:uid="{69EDD830-B060-4045-9183-BB469FDAF3CD}" name="Science" dataDxfId="16"/>
    <tableColumn id="6" xr3:uid="{088014C3-FFEE-4E0B-AC9C-7F64C0FD8BFE}" name="English" dataDxfId="15"/>
    <tableColumn id="7" xr3:uid="{813221A8-CEC5-4449-80A6-2FDDB7E25105}" name="Attendance" dataDxfId="14"/>
    <tableColumn id="8" xr3:uid="{EAD44CBA-F77E-4A6E-87C3-6A9B7F39AB7D}" name="Total" dataDxfId="13">
      <calculatedColumnFormula>SUM(D5:F5)</calculatedColumnFormula>
    </tableColumn>
    <tableColumn id="9" xr3:uid="{45CC9EE8-3D0E-49CF-9064-26A7CAB75221}" name="Average" dataDxfId="12">
      <calculatedColumnFormula>H5/3</calculatedColumnFormula>
    </tableColumn>
    <tableColumn id="10" xr3:uid="{8EF1236C-818F-44F5-8DDC-3E5D9FAD56AF}" name="Result" dataDxfId="11">
      <calculatedColumnFormula>IF(AND(I5&gt;=40,MIN(D5:F5)&gt;=35),"Pass","Needs Support")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0359B08-E86A-4BA0-973F-12535E9CA227}" name="ProjectSchedule" displayName="ProjectSchedule" ref="A4:L19" totalsRowShown="0" headerRowDxfId="10">
  <autoFilter ref="A4:L19" xr:uid="{B0359B08-E86A-4BA0-973F-12535E9CA227}"/>
  <tableColumns count="12">
    <tableColumn id="1" xr3:uid="{66FCF3EB-11C1-4063-AE11-DABB46E9200E}" name="Task ID"/>
    <tableColumn id="2" xr3:uid="{2965126C-A18C-4D39-B539-09AE0D0B7283}" name="Phase"/>
    <tableColumn id="3" xr3:uid="{76DE3F9D-AC1D-45E9-8150-C0AAE87EA768}" name="Task"/>
    <tableColumn id="4" xr3:uid="{73D99AD3-B08B-4E35-B3B4-F7A2A1F96C13}" name="Owner"/>
    <tableColumn id="5" xr3:uid="{52340C0D-8C44-4552-A8FC-CAA43B69514D}" name="Start Date" dataDxfId="9"/>
    <tableColumn id="6" xr3:uid="{CEC69041-9EB5-4A06-8C6C-EC16437232B6}" name="Duration (Days)" dataDxfId="8"/>
    <tableColumn id="7" xr3:uid="{8EC79FC2-E0AF-4D65-AC56-8372E23715FF}" name="End Date" dataDxfId="7">
      <calculatedColumnFormula>WORKDAY(E5,F5-1)</calculatedColumnFormula>
    </tableColumn>
    <tableColumn id="8" xr3:uid="{5F9EC295-9D8D-488F-B46B-6975A52E1525}" name="Progress" dataDxfId="6"/>
    <tableColumn id="9" xr3:uid="{95F89320-973D-4259-82F7-2500AAF14230}" name="Status"/>
    <tableColumn id="10" xr3:uid="{A5D14F18-B076-42CE-9170-70B6E9E8F17C}" name="Dependency"/>
    <tableColumn id="11" xr3:uid="{7685BF53-4B84-4E48-8FBF-A0772742EB84}" name="Start Date2" dataDxfId="5">
      <calculatedColumnFormula>E5</calculatedColumnFormula>
    </tableColumn>
    <tableColumn id="12" xr3:uid="{49BC870C-7FAF-4E41-A644-405B6F85AD3F}" name="Duration" dataDxfId="4">
      <calculatedColumnFormula>F5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FE665-DA06-41BC-888C-83A21154505E}">
  <dimension ref="A1:J54"/>
  <sheetViews>
    <sheetView topLeftCell="A31" workbookViewId="0">
      <selection sqref="A1:J1"/>
    </sheetView>
  </sheetViews>
  <sheetFormatPr defaultRowHeight="14.4" x14ac:dyDescent="0.3"/>
  <cols>
    <col min="1" max="1" width="13.33203125" customWidth="1"/>
    <col min="2" max="2" width="23.109375" customWidth="1"/>
    <col min="3" max="3" width="10.21875" customWidth="1"/>
    <col min="4" max="4" width="15.21875" customWidth="1"/>
    <col min="5" max="6" width="13.33203125" customWidth="1"/>
    <col min="7" max="7" width="14.44140625" customWidth="1"/>
    <col min="8" max="8" width="12" customWidth="1"/>
    <col min="9" max="9" width="13" customWidth="1"/>
    <col min="10" max="10" width="17.5546875" customWidth="1"/>
  </cols>
  <sheetData>
    <row r="1" spans="1:10" ht="31.95" customHeight="1" x14ac:dyDescent="0.3">
      <c r="A1" s="36" t="s">
        <v>0</v>
      </c>
      <c r="B1" s="36"/>
      <c r="C1" s="36"/>
      <c r="D1" s="36"/>
      <c r="E1" s="36"/>
      <c r="F1" s="36"/>
      <c r="G1" s="36"/>
      <c r="H1" s="36"/>
      <c r="I1" s="36"/>
      <c r="J1" s="36"/>
    </row>
    <row r="2" spans="1:10" ht="19.95" customHeight="1" x14ac:dyDescent="0.3">
      <c r="A2" s="37" t="s">
        <v>1</v>
      </c>
      <c r="B2" s="37"/>
      <c r="C2" s="37"/>
      <c r="D2" s="37"/>
      <c r="E2" s="37"/>
      <c r="F2" s="37"/>
      <c r="G2" s="37"/>
      <c r="H2" s="37"/>
      <c r="I2" s="37"/>
      <c r="J2" s="37"/>
    </row>
    <row r="4" spans="1:10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</row>
    <row r="5" spans="1:10" x14ac:dyDescent="0.3">
      <c r="A5" s="6" t="s">
        <v>12</v>
      </c>
      <c r="B5" s="6" t="s">
        <v>13</v>
      </c>
      <c r="C5" s="6" t="s">
        <v>14</v>
      </c>
      <c r="D5" s="3">
        <v>43</v>
      </c>
      <c r="E5" s="3">
        <v>53</v>
      </c>
      <c r="F5" s="3">
        <v>41</v>
      </c>
      <c r="G5" s="4">
        <v>0.81</v>
      </c>
      <c r="H5" s="3">
        <f t="shared" ref="H5" si="0">SUM(D5:F5)</f>
        <v>137</v>
      </c>
      <c r="I5" s="5">
        <f t="shared" ref="I5:I54" si="1">H5/3</f>
        <v>45.666666666666664</v>
      </c>
      <c r="J5" s="7" t="str">
        <f t="shared" ref="J5" si="2">IF(AND(I5&gt;=40,MIN(D5:F5)&gt;=35),"Pass","Needs Support")</f>
        <v>Pass</v>
      </c>
    </row>
    <row r="6" spans="1:10" x14ac:dyDescent="0.3">
      <c r="A6" s="6" t="s">
        <v>15</v>
      </c>
      <c r="B6" s="6" t="s">
        <v>16</v>
      </c>
      <c r="C6" s="6" t="s">
        <v>17</v>
      </c>
      <c r="D6" s="3">
        <v>60</v>
      </c>
      <c r="E6" s="3">
        <v>66</v>
      </c>
      <c r="F6" s="3">
        <v>60</v>
      </c>
      <c r="G6" s="4">
        <v>0.88</v>
      </c>
      <c r="H6" s="3">
        <f t="shared" ref="H6:H54" si="3">SUM(D6:F6)</f>
        <v>186</v>
      </c>
      <c r="I6" s="5">
        <f t="shared" si="1"/>
        <v>62</v>
      </c>
      <c r="J6" s="7" t="str">
        <f t="shared" ref="J6:J54" si="4">IF(AND(I6&gt;=40,MIN(D6:F6)&gt;=35),"Pass","Needs Support")</f>
        <v>Pass</v>
      </c>
    </row>
    <row r="7" spans="1:10" x14ac:dyDescent="0.3">
      <c r="A7" s="6" t="s">
        <v>18</v>
      </c>
      <c r="B7" s="6" t="s">
        <v>19</v>
      </c>
      <c r="C7" s="6" t="s">
        <v>20</v>
      </c>
      <c r="D7" s="3">
        <v>77</v>
      </c>
      <c r="E7" s="3">
        <v>79</v>
      </c>
      <c r="F7" s="3">
        <v>79</v>
      </c>
      <c r="G7" s="4">
        <v>0.95</v>
      </c>
      <c r="H7" s="3">
        <f t="shared" si="3"/>
        <v>235</v>
      </c>
      <c r="I7" s="5">
        <f t="shared" si="1"/>
        <v>78.333333333333329</v>
      </c>
      <c r="J7" s="7" t="str">
        <f t="shared" si="4"/>
        <v>Pass</v>
      </c>
    </row>
    <row r="8" spans="1:10" x14ac:dyDescent="0.3">
      <c r="A8" s="6" t="s">
        <v>21</v>
      </c>
      <c r="B8" s="6" t="s">
        <v>22</v>
      </c>
      <c r="C8" s="6" t="s">
        <v>14</v>
      </c>
      <c r="D8" s="3">
        <v>94</v>
      </c>
      <c r="E8" s="3">
        <v>92</v>
      </c>
      <c r="F8" s="3">
        <v>98</v>
      </c>
      <c r="G8" s="4">
        <v>0.78</v>
      </c>
      <c r="H8" s="3">
        <f t="shared" si="3"/>
        <v>284</v>
      </c>
      <c r="I8" s="5">
        <f t="shared" si="1"/>
        <v>94.666666666666671</v>
      </c>
      <c r="J8" s="7" t="str">
        <f t="shared" si="4"/>
        <v>Pass</v>
      </c>
    </row>
    <row r="9" spans="1:10" x14ac:dyDescent="0.3">
      <c r="A9" s="6" t="s">
        <v>23</v>
      </c>
      <c r="B9" s="6" t="s">
        <v>24</v>
      </c>
      <c r="C9" s="6" t="s">
        <v>17</v>
      </c>
      <c r="D9" s="3">
        <v>44</v>
      </c>
      <c r="E9" s="3">
        <v>36</v>
      </c>
      <c r="F9" s="3">
        <v>52</v>
      </c>
      <c r="G9" s="4">
        <v>0.85</v>
      </c>
      <c r="H9" s="3">
        <f t="shared" si="3"/>
        <v>132</v>
      </c>
      <c r="I9" s="5">
        <f t="shared" si="1"/>
        <v>44</v>
      </c>
      <c r="J9" s="7" t="str">
        <f t="shared" si="4"/>
        <v>Pass</v>
      </c>
    </row>
    <row r="10" spans="1:10" x14ac:dyDescent="0.3">
      <c r="A10" s="6" t="s">
        <v>25</v>
      </c>
      <c r="B10" s="6" t="s">
        <v>26</v>
      </c>
      <c r="C10" s="6" t="s">
        <v>20</v>
      </c>
      <c r="D10" s="3">
        <v>61</v>
      </c>
      <c r="E10" s="3">
        <v>49</v>
      </c>
      <c r="F10" s="3">
        <v>71</v>
      </c>
      <c r="G10" s="4">
        <v>0.92</v>
      </c>
      <c r="H10" s="3">
        <f t="shared" si="3"/>
        <v>181</v>
      </c>
      <c r="I10" s="5">
        <f t="shared" si="1"/>
        <v>60.333333333333336</v>
      </c>
      <c r="J10" s="7" t="str">
        <f t="shared" si="4"/>
        <v>Pass</v>
      </c>
    </row>
    <row r="11" spans="1:10" x14ac:dyDescent="0.3">
      <c r="A11" s="6" t="s">
        <v>27</v>
      </c>
      <c r="B11" s="6" t="s">
        <v>28</v>
      </c>
      <c r="C11" s="6" t="s">
        <v>14</v>
      </c>
      <c r="D11" s="3">
        <v>78</v>
      </c>
      <c r="E11" s="3">
        <v>62</v>
      </c>
      <c r="F11" s="3">
        <v>90</v>
      </c>
      <c r="G11" s="4">
        <v>0.99</v>
      </c>
      <c r="H11" s="3">
        <f t="shared" si="3"/>
        <v>230</v>
      </c>
      <c r="I11" s="5">
        <f t="shared" si="1"/>
        <v>76.666666666666671</v>
      </c>
      <c r="J11" s="7" t="str">
        <f t="shared" si="4"/>
        <v>Pass</v>
      </c>
    </row>
    <row r="12" spans="1:10" x14ac:dyDescent="0.3">
      <c r="A12" s="6" t="s">
        <v>29</v>
      </c>
      <c r="B12" s="6" t="s">
        <v>30</v>
      </c>
      <c r="C12" s="6" t="s">
        <v>17</v>
      </c>
      <c r="D12" s="3">
        <v>95</v>
      </c>
      <c r="E12" s="3">
        <v>75</v>
      </c>
      <c r="F12" s="3">
        <v>44</v>
      </c>
      <c r="G12" s="4">
        <v>0.82</v>
      </c>
      <c r="H12" s="3">
        <f t="shared" si="3"/>
        <v>214</v>
      </c>
      <c r="I12" s="5">
        <f t="shared" si="1"/>
        <v>71.333333333333329</v>
      </c>
      <c r="J12" s="7" t="str">
        <f t="shared" si="4"/>
        <v>Pass</v>
      </c>
    </row>
    <row r="13" spans="1:10" x14ac:dyDescent="0.3">
      <c r="A13" s="6" t="s">
        <v>31</v>
      </c>
      <c r="B13" s="6" t="s">
        <v>32</v>
      </c>
      <c r="C13" s="6" t="s">
        <v>20</v>
      </c>
      <c r="D13" s="3">
        <v>45</v>
      </c>
      <c r="E13" s="3">
        <v>88</v>
      </c>
      <c r="F13" s="3">
        <v>63</v>
      </c>
      <c r="G13" s="4">
        <v>0.89</v>
      </c>
      <c r="H13" s="3">
        <f t="shared" si="3"/>
        <v>196</v>
      </c>
      <c r="I13" s="5">
        <f t="shared" si="1"/>
        <v>65.333333333333329</v>
      </c>
      <c r="J13" s="7" t="str">
        <f t="shared" si="4"/>
        <v>Pass</v>
      </c>
    </row>
    <row r="14" spans="1:10" x14ac:dyDescent="0.3">
      <c r="A14" s="6" t="s">
        <v>33</v>
      </c>
      <c r="B14" s="6" t="s">
        <v>34</v>
      </c>
      <c r="C14" s="6" t="s">
        <v>14</v>
      </c>
      <c r="D14" s="3">
        <v>62</v>
      </c>
      <c r="E14" s="3">
        <v>32</v>
      </c>
      <c r="F14" s="3">
        <v>82</v>
      </c>
      <c r="G14" s="4">
        <v>0.96</v>
      </c>
      <c r="H14" s="3">
        <f t="shared" si="3"/>
        <v>176</v>
      </c>
      <c r="I14" s="5">
        <f t="shared" si="1"/>
        <v>58.666666666666664</v>
      </c>
      <c r="J14" s="7" t="str">
        <f t="shared" si="4"/>
        <v>Needs Support</v>
      </c>
    </row>
    <row r="15" spans="1:10" x14ac:dyDescent="0.3">
      <c r="A15" s="6" t="s">
        <v>35</v>
      </c>
      <c r="B15" s="6" t="s">
        <v>36</v>
      </c>
      <c r="C15" s="6" t="s">
        <v>17</v>
      </c>
      <c r="D15" s="3">
        <v>79</v>
      </c>
      <c r="E15" s="3">
        <v>45</v>
      </c>
      <c r="F15" s="3">
        <v>36</v>
      </c>
      <c r="G15" s="4">
        <v>0.79</v>
      </c>
      <c r="H15" s="3">
        <f t="shared" si="3"/>
        <v>160</v>
      </c>
      <c r="I15" s="5">
        <f t="shared" si="1"/>
        <v>53.333333333333336</v>
      </c>
      <c r="J15" s="7" t="str">
        <f t="shared" si="4"/>
        <v>Pass</v>
      </c>
    </row>
    <row r="16" spans="1:10" x14ac:dyDescent="0.3">
      <c r="A16" s="6" t="s">
        <v>37</v>
      </c>
      <c r="B16" s="6" t="s">
        <v>38</v>
      </c>
      <c r="C16" s="6" t="s">
        <v>20</v>
      </c>
      <c r="D16" s="3">
        <v>96</v>
      </c>
      <c r="E16" s="3">
        <v>58</v>
      </c>
      <c r="F16" s="3">
        <v>55</v>
      </c>
      <c r="G16" s="4">
        <v>0.86</v>
      </c>
      <c r="H16" s="3">
        <f t="shared" si="3"/>
        <v>209</v>
      </c>
      <c r="I16" s="5">
        <f t="shared" si="1"/>
        <v>69.666666666666671</v>
      </c>
      <c r="J16" s="7" t="str">
        <f t="shared" si="4"/>
        <v>Pass</v>
      </c>
    </row>
    <row r="17" spans="1:10" x14ac:dyDescent="0.3">
      <c r="A17" s="6" t="s">
        <v>39</v>
      </c>
      <c r="B17" s="6" t="s">
        <v>40</v>
      </c>
      <c r="C17" s="6" t="s">
        <v>14</v>
      </c>
      <c r="D17" s="3">
        <v>46</v>
      </c>
      <c r="E17" s="3">
        <v>71</v>
      </c>
      <c r="F17" s="3">
        <v>74</v>
      </c>
      <c r="G17" s="4">
        <v>0.93</v>
      </c>
      <c r="H17" s="3">
        <f t="shared" si="3"/>
        <v>191</v>
      </c>
      <c r="I17" s="5">
        <f t="shared" si="1"/>
        <v>63.666666666666664</v>
      </c>
      <c r="J17" s="7" t="str">
        <f t="shared" si="4"/>
        <v>Pass</v>
      </c>
    </row>
    <row r="18" spans="1:10" x14ac:dyDescent="0.3">
      <c r="A18" s="6" t="s">
        <v>41</v>
      </c>
      <c r="B18" s="6" t="s">
        <v>42</v>
      </c>
      <c r="C18" s="6" t="s">
        <v>17</v>
      </c>
      <c r="D18" s="3">
        <v>63</v>
      </c>
      <c r="E18" s="3">
        <v>84</v>
      </c>
      <c r="F18" s="3">
        <v>93</v>
      </c>
      <c r="G18" s="4">
        <v>0.76</v>
      </c>
      <c r="H18" s="3">
        <f t="shared" si="3"/>
        <v>240</v>
      </c>
      <c r="I18" s="5">
        <f t="shared" si="1"/>
        <v>80</v>
      </c>
      <c r="J18" s="7" t="str">
        <f t="shared" si="4"/>
        <v>Pass</v>
      </c>
    </row>
    <row r="19" spans="1:10" x14ac:dyDescent="0.3">
      <c r="A19" s="6" t="s">
        <v>43</v>
      </c>
      <c r="B19" s="6" t="s">
        <v>44</v>
      </c>
      <c r="C19" s="6" t="s">
        <v>20</v>
      </c>
      <c r="D19" s="3">
        <v>80</v>
      </c>
      <c r="E19" s="3">
        <v>97</v>
      </c>
      <c r="F19" s="3">
        <v>47</v>
      </c>
      <c r="G19" s="4">
        <v>0.83</v>
      </c>
      <c r="H19" s="3">
        <f t="shared" si="3"/>
        <v>224</v>
      </c>
      <c r="I19" s="5">
        <f t="shared" si="1"/>
        <v>74.666666666666671</v>
      </c>
      <c r="J19" s="7" t="str">
        <f t="shared" si="4"/>
        <v>Pass</v>
      </c>
    </row>
    <row r="20" spans="1:10" x14ac:dyDescent="0.3">
      <c r="A20" s="6" t="s">
        <v>45</v>
      </c>
      <c r="B20" s="6" t="s">
        <v>46</v>
      </c>
      <c r="C20" s="6" t="s">
        <v>14</v>
      </c>
      <c r="D20" s="3">
        <v>97</v>
      </c>
      <c r="E20" s="3">
        <v>41</v>
      </c>
      <c r="F20" s="3">
        <v>66</v>
      </c>
      <c r="G20" s="4">
        <v>0.9</v>
      </c>
      <c r="H20" s="3">
        <f t="shared" si="3"/>
        <v>204</v>
      </c>
      <c r="I20" s="5">
        <f t="shared" si="1"/>
        <v>68</v>
      </c>
      <c r="J20" s="7" t="str">
        <f t="shared" si="4"/>
        <v>Pass</v>
      </c>
    </row>
    <row r="21" spans="1:10" x14ac:dyDescent="0.3">
      <c r="A21" s="6" t="s">
        <v>47</v>
      </c>
      <c r="B21" s="6" t="s">
        <v>48</v>
      </c>
      <c r="C21" s="6" t="s">
        <v>17</v>
      </c>
      <c r="D21" s="3">
        <v>47</v>
      </c>
      <c r="E21" s="3">
        <v>54</v>
      </c>
      <c r="F21" s="3">
        <v>85</v>
      </c>
      <c r="G21" s="4">
        <v>0.97</v>
      </c>
      <c r="H21" s="3">
        <f t="shared" si="3"/>
        <v>186</v>
      </c>
      <c r="I21" s="5">
        <f t="shared" si="1"/>
        <v>62</v>
      </c>
      <c r="J21" s="7" t="str">
        <f t="shared" si="4"/>
        <v>Pass</v>
      </c>
    </row>
    <row r="22" spans="1:10" x14ac:dyDescent="0.3">
      <c r="A22" s="6" t="s">
        <v>49</v>
      </c>
      <c r="B22" s="6" t="s">
        <v>50</v>
      </c>
      <c r="C22" s="6" t="s">
        <v>20</v>
      </c>
      <c r="D22" s="3">
        <v>64</v>
      </c>
      <c r="E22" s="3">
        <v>67</v>
      </c>
      <c r="F22" s="3">
        <v>39</v>
      </c>
      <c r="G22" s="4">
        <v>0.8</v>
      </c>
      <c r="H22" s="3">
        <f t="shared" si="3"/>
        <v>170</v>
      </c>
      <c r="I22" s="5">
        <f t="shared" si="1"/>
        <v>56.666666666666664</v>
      </c>
      <c r="J22" s="7" t="str">
        <f t="shared" si="4"/>
        <v>Pass</v>
      </c>
    </row>
    <row r="23" spans="1:10" x14ac:dyDescent="0.3">
      <c r="A23" s="6" t="s">
        <v>51</v>
      </c>
      <c r="B23" s="6" t="s">
        <v>52</v>
      </c>
      <c r="C23" s="6" t="s">
        <v>14</v>
      </c>
      <c r="D23" s="3">
        <v>81</v>
      </c>
      <c r="E23" s="3">
        <v>80</v>
      </c>
      <c r="F23" s="3">
        <v>58</v>
      </c>
      <c r="G23" s="4">
        <v>0.87</v>
      </c>
      <c r="H23" s="3">
        <f t="shared" si="3"/>
        <v>219</v>
      </c>
      <c r="I23" s="5">
        <f t="shared" si="1"/>
        <v>73</v>
      </c>
      <c r="J23" s="7" t="str">
        <f t="shared" si="4"/>
        <v>Pass</v>
      </c>
    </row>
    <row r="24" spans="1:10" x14ac:dyDescent="0.3">
      <c r="A24" s="6" t="s">
        <v>53</v>
      </c>
      <c r="B24" s="6" t="s">
        <v>54</v>
      </c>
      <c r="C24" s="6" t="s">
        <v>17</v>
      </c>
      <c r="D24" s="3">
        <v>98</v>
      </c>
      <c r="E24" s="3">
        <v>93</v>
      </c>
      <c r="F24" s="3">
        <v>77</v>
      </c>
      <c r="G24" s="4">
        <v>0.94</v>
      </c>
      <c r="H24" s="3">
        <f t="shared" si="3"/>
        <v>268</v>
      </c>
      <c r="I24" s="5">
        <f t="shared" si="1"/>
        <v>89.333333333333329</v>
      </c>
      <c r="J24" s="7" t="str">
        <f t="shared" si="4"/>
        <v>Pass</v>
      </c>
    </row>
    <row r="25" spans="1:10" x14ac:dyDescent="0.3">
      <c r="A25" s="6" t="s">
        <v>55</v>
      </c>
      <c r="B25" s="6" t="s">
        <v>56</v>
      </c>
      <c r="C25" s="6" t="s">
        <v>20</v>
      </c>
      <c r="D25" s="3">
        <v>48</v>
      </c>
      <c r="E25" s="3">
        <v>37</v>
      </c>
      <c r="F25" s="3">
        <v>96</v>
      </c>
      <c r="G25" s="4">
        <v>0.77</v>
      </c>
      <c r="H25" s="3">
        <f t="shared" si="3"/>
        <v>181</v>
      </c>
      <c r="I25" s="5">
        <f t="shared" si="1"/>
        <v>60.333333333333336</v>
      </c>
      <c r="J25" s="7" t="str">
        <f t="shared" si="4"/>
        <v>Pass</v>
      </c>
    </row>
    <row r="26" spans="1:10" x14ac:dyDescent="0.3">
      <c r="A26" s="6" t="s">
        <v>57</v>
      </c>
      <c r="B26" s="6" t="s">
        <v>58</v>
      </c>
      <c r="C26" s="6" t="s">
        <v>14</v>
      </c>
      <c r="D26" s="3">
        <v>65</v>
      </c>
      <c r="E26" s="3">
        <v>50</v>
      </c>
      <c r="F26" s="3">
        <v>50</v>
      </c>
      <c r="G26" s="4">
        <v>0.84</v>
      </c>
      <c r="H26" s="3">
        <f t="shared" si="3"/>
        <v>165</v>
      </c>
      <c r="I26" s="5">
        <f t="shared" si="1"/>
        <v>55</v>
      </c>
      <c r="J26" s="7" t="str">
        <f t="shared" si="4"/>
        <v>Pass</v>
      </c>
    </row>
    <row r="27" spans="1:10" x14ac:dyDescent="0.3">
      <c r="A27" s="6" t="s">
        <v>59</v>
      </c>
      <c r="B27" s="6" t="s">
        <v>60</v>
      </c>
      <c r="C27" s="6" t="s">
        <v>17</v>
      </c>
      <c r="D27" s="3">
        <v>82</v>
      </c>
      <c r="E27" s="3">
        <v>63</v>
      </c>
      <c r="F27" s="3">
        <v>69</v>
      </c>
      <c r="G27" s="4">
        <v>0.91</v>
      </c>
      <c r="H27" s="3">
        <f t="shared" si="3"/>
        <v>214</v>
      </c>
      <c r="I27" s="5">
        <f t="shared" si="1"/>
        <v>71.333333333333329</v>
      </c>
      <c r="J27" s="7" t="str">
        <f t="shared" si="4"/>
        <v>Pass</v>
      </c>
    </row>
    <row r="28" spans="1:10" x14ac:dyDescent="0.3">
      <c r="A28" s="6" t="s">
        <v>61</v>
      </c>
      <c r="B28" s="6" t="s">
        <v>62</v>
      </c>
      <c r="C28" s="6" t="s">
        <v>20</v>
      </c>
      <c r="D28" s="3">
        <v>32</v>
      </c>
      <c r="E28" s="3">
        <v>76</v>
      </c>
      <c r="F28" s="3">
        <v>88</v>
      </c>
      <c r="G28" s="4">
        <v>0.98</v>
      </c>
      <c r="H28" s="3">
        <f t="shared" si="3"/>
        <v>196</v>
      </c>
      <c r="I28" s="5">
        <f t="shared" si="1"/>
        <v>65.333333333333329</v>
      </c>
      <c r="J28" s="7" t="str">
        <f t="shared" si="4"/>
        <v>Needs Support</v>
      </c>
    </row>
    <row r="29" spans="1:10" x14ac:dyDescent="0.3">
      <c r="A29" s="6" t="s">
        <v>63</v>
      </c>
      <c r="B29" s="6" t="s">
        <v>64</v>
      </c>
      <c r="C29" s="6" t="s">
        <v>14</v>
      </c>
      <c r="D29" s="3">
        <v>49</v>
      </c>
      <c r="E29" s="3">
        <v>89</v>
      </c>
      <c r="F29" s="3">
        <v>42</v>
      </c>
      <c r="G29" s="4">
        <v>0.81</v>
      </c>
      <c r="H29" s="3">
        <f t="shared" si="3"/>
        <v>180</v>
      </c>
      <c r="I29" s="5">
        <f t="shared" si="1"/>
        <v>60</v>
      </c>
      <c r="J29" s="7" t="str">
        <f t="shared" si="4"/>
        <v>Pass</v>
      </c>
    </row>
    <row r="30" spans="1:10" x14ac:dyDescent="0.3">
      <c r="A30" s="6" t="s">
        <v>65</v>
      </c>
      <c r="B30" s="6" t="s">
        <v>66</v>
      </c>
      <c r="C30" s="6" t="s">
        <v>17</v>
      </c>
      <c r="D30" s="3">
        <v>66</v>
      </c>
      <c r="E30" s="3">
        <v>33</v>
      </c>
      <c r="F30" s="3">
        <v>61</v>
      </c>
      <c r="G30" s="4">
        <v>0.88</v>
      </c>
      <c r="H30" s="3">
        <f t="shared" si="3"/>
        <v>160</v>
      </c>
      <c r="I30" s="5">
        <f t="shared" si="1"/>
        <v>53.333333333333336</v>
      </c>
      <c r="J30" s="7" t="str">
        <f t="shared" si="4"/>
        <v>Needs Support</v>
      </c>
    </row>
    <row r="31" spans="1:10" x14ac:dyDescent="0.3">
      <c r="A31" s="6" t="s">
        <v>67</v>
      </c>
      <c r="B31" s="6" t="s">
        <v>68</v>
      </c>
      <c r="C31" s="6" t="s">
        <v>20</v>
      </c>
      <c r="D31" s="3">
        <v>83</v>
      </c>
      <c r="E31" s="3">
        <v>46</v>
      </c>
      <c r="F31" s="3">
        <v>80</v>
      </c>
      <c r="G31" s="4">
        <v>0.95</v>
      </c>
      <c r="H31" s="3">
        <f t="shared" si="3"/>
        <v>209</v>
      </c>
      <c r="I31" s="5">
        <f t="shared" si="1"/>
        <v>69.666666666666671</v>
      </c>
      <c r="J31" s="7" t="str">
        <f t="shared" si="4"/>
        <v>Pass</v>
      </c>
    </row>
    <row r="32" spans="1:10" x14ac:dyDescent="0.3">
      <c r="A32" s="6" t="s">
        <v>69</v>
      </c>
      <c r="B32" s="6" t="s">
        <v>70</v>
      </c>
      <c r="C32" s="6" t="s">
        <v>14</v>
      </c>
      <c r="D32" s="3">
        <v>33</v>
      </c>
      <c r="E32" s="3">
        <v>59</v>
      </c>
      <c r="F32" s="3">
        <v>34</v>
      </c>
      <c r="G32" s="4">
        <v>0.78</v>
      </c>
      <c r="H32" s="3">
        <f t="shared" si="3"/>
        <v>126</v>
      </c>
      <c r="I32" s="5">
        <f t="shared" si="1"/>
        <v>42</v>
      </c>
      <c r="J32" s="7" t="str">
        <f t="shared" si="4"/>
        <v>Needs Support</v>
      </c>
    </row>
    <row r="33" spans="1:10" x14ac:dyDescent="0.3">
      <c r="A33" s="6" t="s">
        <v>71</v>
      </c>
      <c r="B33" s="6" t="s">
        <v>72</v>
      </c>
      <c r="C33" s="6" t="s">
        <v>17</v>
      </c>
      <c r="D33" s="3">
        <v>50</v>
      </c>
      <c r="E33" s="3">
        <v>72</v>
      </c>
      <c r="F33" s="3">
        <v>53</v>
      </c>
      <c r="G33" s="4">
        <v>0.85</v>
      </c>
      <c r="H33" s="3">
        <f t="shared" si="3"/>
        <v>175</v>
      </c>
      <c r="I33" s="5">
        <f t="shared" si="1"/>
        <v>58.333333333333336</v>
      </c>
      <c r="J33" s="7" t="str">
        <f t="shared" si="4"/>
        <v>Pass</v>
      </c>
    </row>
    <row r="34" spans="1:10" x14ac:dyDescent="0.3">
      <c r="A34" s="6" t="s">
        <v>73</v>
      </c>
      <c r="B34" s="6" t="s">
        <v>74</v>
      </c>
      <c r="C34" s="6" t="s">
        <v>20</v>
      </c>
      <c r="D34" s="3">
        <v>67</v>
      </c>
      <c r="E34" s="3">
        <v>85</v>
      </c>
      <c r="F34" s="3">
        <v>72</v>
      </c>
      <c r="G34" s="4">
        <v>0.92</v>
      </c>
      <c r="H34" s="3">
        <f t="shared" si="3"/>
        <v>224</v>
      </c>
      <c r="I34" s="5">
        <f t="shared" si="1"/>
        <v>74.666666666666671</v>
      </c>
      <c r="J34" s="7" t="str">
        <f t="shared" si="4"/>
        <v>Pass</v>
      </c>
    </row>
    <row r="35" spans="1:10" x14ac:dyDescent="0.3">
      <c r="A35" s="6" t="s">
        <v>75</v>
      </c>
      <c r="B35" s="6" t="s">
        <v>76</v>
      </c>
      <c r="C35" s="6" t="s">
        <v>14</v>
      </c>
      <c r="D35" s="3">
        <v>84</v>
      </c>
      <c r="E35" s="3">
        <v>98</v>
      </c>
      <c r="F35" s="3">
        <v>91</v>
      </c>
      <c r="G35" s="4">
        <v>0.99</v>
      </c>
      <c r="H35" s="3">
        <f t="shared" si="3"/>
        <v>273</v>
      </c>
      <c r="I35" s="5">
        <f t="shared" si="1"/>
        <v>91</v>
      </c>
      <c r="J35" s="7" t="str">
        <f t="shared" si="4"/>
        <v>Pass</v>
      </c>
    </row>
    <row r="36" spans="1:10" x14ac:dyDescent="0.3">
      <c r="A36" s="6" t="s">
        <v>77</v>
      </c>
      <c r="B36" s="6" t="s">
        <v>78</v>
      </c>
      <c r="C36" s="6" t="s">
        <v>17</v>
      </c>
      <c r="D36" s="3">
        <v>34</v>
      </c>
      <c r="E36" s="3">
        <v>42</v>
      </c>
      <c r="F36" s="3">
        <v>45</v>
      </c>
      <c r="G36" s="4">
        <v>0.82</v>
      </c>
      <c r="H36" s="3">
        <f t="shared" si="3"/>
        <v>121</v>
      </c>
      <c r="I36" s="5">
        <f t="shared" si="1"/>
        <v>40.333333333333336</v>
      </c>
      <c r="J36" s="7" t="str">
        <f t="shared" si="4"/>
        <v>Needs Support</v>
      </c>
    </row>
    <row r="37" spans="1:10" x14ac:dyDescent="0.3">
      <c r="A37" s="6" t="s">
        <v>79</v>
      </c>
      <c r="B37" s="6" t="s">
        <v>80</v>
      </c>
      <c r="C37" s="6" t="s">
        <v>20</v>
      </c>
      <c r="D37" s="3">
        <v>51</v>
      </c>
      <c r="E37" s="3">
        <v>55</v>
      </c>
      <c r="F37" s="3">
        <v>64</v>
      </c>
      <c r="G37" s="4">
        <v>0.89</v>
      </c>
      <c r="H37" s="3">
        <f t="shared" si="3"/>
        <v>170</v>
      </c>
      <c r="I37" s="5">
        <f t="shared" si="1"/>
        <v>56.666666666666664</v>
      </c>
      <c r="J37" s="7" t="str">
        <f t="shared" si="4"/>
        <v>Pass</v>
      </c>
    </row>
    <row r="38" spans="1:10" x14ac:dyDescent="0.3">
      <c r="A38" s="6" t="s">
        <v>81</v>
      </c>
      <c r="B38" s="6" t="s">
        <v>82</v>
      </c>
      <c r="C38" s="6" t="s">
        <v>14</v>
      </c>
      <c r="D38" s="3">
        <v>68</v>
      </c>
      <c r="E38" s="3">
        <v>68</v>
      </c>
      <c r="F38" s="3">
        <v>83</v>
      </c>
      <c r="G38" s="4">
        <v>0.96</v>
      </c>
      <c r="H38" s="3">
        <f t="shared" si="3"/>
        <v>219</v>
      </c>
      <c r="I38" s="5">
        <f t="shared" si="1"/>
        <v>73</v>
      </c>
      <c r="J38" s="7" t="str">
        <f t="shared" si="4"/>
        <v>Pass</v>
      </c>
    </row>
    <row r="39" spans="1:10" x14ac:dyDescent="0.3">
      <c r="A39" s="6" t="s">
        <v>83</v>
      </c>
      <c r="B39" s="6" t="s">
        <v>84</v>
      </c>
      <c r="C39" s="6" t="s">
        <v>17</v>
      </c>
      <c r="D39" s="3">
        <v>85</v>
      </c>
      <c r="E39" s="3">
        <v>81</v>
      </c>
      <c r="F39" s="3">
        <v>37</v>
      </c>
      <c r="G39" s="4">
        <v>0.79</v>
      </c>
      <c r="H39" s="3">
        <f t="shared" si="3"/>
        <v>203</v>
      </c>
      <c r="I39" s="5">
        <f t="shared" si="1"/>
        <v>67.666666666666671</v>
      </c>
      <c r="J39" s="7" t="str">
        <f t="shared" si="4"/>
        <v>Pass</v>
      </c>
    </row>
    <row r="40" spans="1:10" x14ac:dyDescent="0.3">
      <c r="A40" s="6" t="s">
        <v>85</v>
      </c>
      <c r="B40" s="6" t="s">
        <v>86</v>
      </c>
      <c r="C40" s="6" t="s">
        <v>20</v>
      </c>
      <c r="D40" s="3">
        <v>35</v>
      </c>
      <c r="E40" s="3">
        <v>94</v>
      </c>
      <c r="F40" s="3">
        <v>56</v>
      </c>
      <c r="G40" s="4">
        <v>0.86</v>
      </c>
      <c r="H40" s="3">
        <f t="shared" si="3"/>
        <v>185</v>
      </c>
      <c r="I40" s="5">
        <f t="shared" si="1"/>
        <v>61.666666666666664</v>
      </c>
      <c r="J40" s="7" t="str">
        <f t="shared" si="4"/>
        <v>Pass</v>
      </c>
    </row>
    <row r="41" spans="1:10" x14ac:dyDescent="0.3">
      <c r="A41" s="6" t="s">
        <v>87</v>
      </c>
      <c r="B41" s="6" t="s">
        <v>88</v>
      </c>
      <c r="C41" s="6" t="s">
        <v>14</v>
      </c>
      <c r="D41" s="3">
        <v>52</v>
      </c>
      <c r="E41" s="3">
        <v>38</v>
      </c>
      <c r="F41" s="3">
        <v>75</v>
      </c>
      <c r="G41" s="4">
        <v>0.93</v>
      </c>
      <c r="H41" s="3">
        <f t="shared" si="3"/>
        <v>165</v>
      </c>
      <c r="I41" s="5">
        <f t="shared" si="1"/>
        <v>55</v>
      </c>
      <c r="J41" s="7" t="str">
        <f t="shared" si="4"/>
        <v>Pass</v>
      </c>
    </row>
    <row r="42" spans="1:10" x14ac:dyDescent="0.3">
      <c r="A42" s="6" t="s">
        <v>89</v>
      </c>
      <c r="B42" s="6" t="s">
        <v>90</v>
      </c>
      <c r="C42" s="6" t="s">
        <v>17</v>
      </c>
      <c r="D42" s="3">
        <v>69</v>
      </c>
      <c r="E42" s="3">
        <v>51</v>
      </c>
      <c r="F42" s="3">
        <v>94</v>
      </c>
      <c r="G42" s="4">
        <v>0.76</v>
      </c>
      <c r="H42" s="3">
        <f t="shared" si="3"/>
        <v>214</v>
      </c>
      <c r="I42" s="5">
        <f t="shared" si="1"/>
        <v>71.333333333333329</v>
      </c>
      <c r="J42" s="7" t="str">
        <f t="shared" si="4"/>
        <v>Pass</v>
      </c>
    </row>
    <row r="43" spans="1:10" x14ac:dyDescent="0.3">
      <c r="A43" s="6" t="s">
        <v>91</v>
      </c>
      <c r="B43" s="6" t="s">
        <v>92</v>
      </c>
      <c r="C43" s="6" t="s">
        <v>20</v>
      </c>
      <c r="D43" s="3">
        <v>86</v>
      </c>
      <c r="E43" s="3">
        <v>64</v>
      </c>
      <c r="F43" s="3">
        <v>48</v>
      </c>
      <c r="G43" s="4">
        <v>0.83</v>
      </c>
      <c r="H43" s="3">
        <f t="shared" si="3"/>
        <v>198</v>
      </c>
      <c r="I43" s="5">
        <f t="shared" si="1"/>
        <v>66</v>
      </c>
      <c r="J43" s="7" t="str">
        <f t="shared" si="4"/>
        <v>Pass</v>
      </c>
    </row>
    <row r="44" spans="1:10" x14ac:dyDescent="0.3">
      <c r="A44" s="6" t="s">
        <v>93</v>
      </c>
      <c r="B44" s="6" t="s">
        <v>94</v>
      </c>
      <c r="C44" s="6" t="s">
        <v>14</v>
      </c>
      <c r="D44" s="3">
        <v>36</v>
      </c>
      <c r="E44" s="3">
        <v>77</v>
      </c>
      <c r="F44" s="3">
        <v>67</v>
      </c>
      <c r="G44" s="4">
        <v>0.9</v>
      </c>
      <c r="H44" s="3">
        <f t="shared" si="3"/>
        <v>180</v>
      </c>
      <c r="I44" s="5">
        <f t="shared" si="1"/>
        <v>60</v>
      </c>
      <c r="J44" s="7" t="str">
        <f t="shared" si="4"/>
        <v>Pass</v>
      </c>
    </row>
    <row r="45" spans="1:10" x14ac:dyDescent="0.3">
      <c r="A45" s="6" t="s">
        <v>95</v>
      </c>
      <c r="B45" s="6" t="s">
        <v>96</v>
      </c>
      <c r="C45" s="6" t="s">
        <v>17</v>
      </c>
      <c r="D45" s="3">
        <v>53</v>
      </c>
      <c r="E45" s="3">
        <v>90</v>
      </c>
      <c r="F45" s="3">
        <v>86</v>
      </c>
      <c r="G45" s="4">
        <v>0.97</v>
      </c>
      <c r="H45" s="3">
        <f t="shared" si="3"/>
        <v>229</v>
      </c>
      <c r="I45" s="5">
        <f t="shared" si="1"/>
        <v>76.333333333333329</v>
      </c>
      <c r="J45" s="7" t="str">
        <f t="shared" si="4"/>
        <v>Pass</v>
      </c>
    </row>
    <row r="46" spans="1:10" x14ac:dyDescent="0.3">
      <c r="A46" s="6" t="s">
        <v>97</v>
      </c>
      <c r="B46" s="6" t="s">
        <v>98</v>
      </c>
      <c r="C46" s="6" t="s">
        <v>20</v>
      </c>
      <c r="D46" s="3">
        <v>70</v>
      </c>
      <c r="E46" s="3">
        <v>34</v>
      </c>
      <c r="F46" s="3">
        <v>40</v>
      </c>
      <c r="G46" s="4">
        <v>0.8</v>
      </c>
      <c r="H46" s="3">
        <f t="shared" si="3"/>
        <v>144</v>
      </c>
      <c r="I46" s="5">
        <f t="shared" si="1"/>
        <v>48</v>
      </c>
      <c r="J46" s="7" t="str">
        <f t="shared" si="4"/>
        <v>Needs Support</v>
      </c>
    </row>
    <row r="47" spans="1:10" x14ac:dyDescent="0.3">
      <c r="A47" s="6" t="s">
        <v>99</v>
      </c>
      <c r="B47" s="6" t="s">
        <v>100</v>
      </c>
      <c r="C47" s="6" t="s">
        <v>14</v>
      </c>
      <c r="D47" s="3">
        <v>87</v>
      </c>
      <c r="E47" s="3">
        <v>47</v>
      </c>
      <c r="F47" s="3">
        <v>59</v>
      </c>
      <c r="G47" s="4">
        <v>0.87</v>
      </c>
      <c r="H47" s="3">
        <f t="shared" si="3"/>
        <v>193</v>
      </c>
      <c r="I47" s="5">
        <f t="shared" si="1"/>
        <v>64.333333333333329</v>
      </c>
      <c r="J47" s="7" t="str">
        <f t="shared" si="4"/>
        <v>Pass</v>
      </c>
    </row>
    <row r="48" spans="1:10" x14ac:dyDescent="0.3">
      <c r="A48" s="6" t="s">
        <v>101</v>
      </c>
      <c r="B48" s="6" t="s">
        <v>102</v>
      </c>
      <c r="C48" s="6" t="s">
        <v>17</v>
      </c>
      <c r="D48" s="3">
        <v>37</v>
      </c>
      <c r="E48" s="3">
        <v>60</v>
      </c>
      <c r="F48" s="3">
        <v>78</v>
      </c>
      <c r="G48" s="4">
        <v>0.94</v>
      </c>
      <c r="H48" s="3">
        <f t="shared" si="3"/>
        <v>175</v>
      </c>
      <c r="I48" s="5">
        <f t="shared" si="1"/>
        <v>58.333333333333336</v>
      </c>
      <c r="J48" s="7" t="str">
        <f t="shared" si="4"/>
        <v>Pass</v>
      </c>
    </row>
    <row r="49" spans="1:10" x14ac:dyDescent="0.3">
      <c r="A49" s="6" t="s">
        <v>103</v>
      </c>
      <c r="B49" s="6" t="s">
        <v>104</v>
      </c>
      <c r="C49" s="6" t="s">
        <v>20</v>
      </c>
      <c r="D49" s="3">
        <v>54</v>
      </c>
      <c r="E49" s="3">
        <v>73</v>
      </c>
      <c r="F49" s="3">
        <v>97</v>
      </c>
      <c r="G49" s="4">
        <v>0.77</v>
      </c>
      <c r="H49" s="3">
        <f t="shared" si="3"/>
        <v>224</v>
      </c>
      <c r="I49" s="5">
        <f t="shared" si="1"/>
        <v>74.666666666666671</v>
      </c>
      <c r="J49" s="7" t="str">
        <f t="shared" si="4"/>
        <v>Pass</v>
      </c>
    </row>
    <row r="50" spans="1:10" x14ac:dyDescent="0.3">
      <c r="A50" s="6" t="s">
        <v>105</v>
      </c>
      <c r="B50" s="6" t="s">
        <v>106</v>
      </c>
      <c r="C50" s="6" t="s">
        <v>14</v>
      </c>
      <c r="D50" s="3">
        <v>71</v>
      </c>
      <c r="E50" s="3">
        <v>86</v>
      </c>
      <c r="F50" s="3">
        <v>51</v>
      </c>
      <c r="G50" s="4">
        <v>0.84</v>
      </c>
      <c r="H50" s="3">
        <f t="shared" si="3"/>
        <v>208</v>
      </c>
      <c r="I50" s="5">
        <f t="shared" si="1"/>
        <v>69.333333333333329</v>
      </c>
      <c r="J50" s="7" t="str">
        <f t="shared" si="4"/>
        <v>Pass</v>
      </c>
    </row>
    <row r="51" spans="1:10" x14ac:dyDescent="0.3">
      <c r="A51" s="6" t="s">
        <v>107</v>
      </c>
      <c r="B51" s="6" t="s">
        <v>108</v>
      </c>
      <c r="C51" s="6" t="s">
        <v>17</v>
      </c>
      <c r="D51" s="3">
        <v>88</v>
      </c>
      <c r="E51" s="3">
        <v>30</v>
      </c>
      <c r="F51" s="3">
        <v>70</v>
      </c>
      <c r="G51" s="4">
        <v>0.91</v>
      </c>
      <c r="H51" s="3">
        <f t="shared" si="3"/>
        <v>188</v>
      </c>
      <c r="I51" s="5">
        <f t="shared" si="1"/>
        <v>62.666666666666664</v>
      </c>
      <c r="J51" s="7" t="str">
        <f t="shared" si="4"/>
        <v>Needs Support</v>
      </c>
    </row>
    <row r="52" spans="1:10" x14ac:dyDescent="0.3">
      <c r="A52" s="6" t="s">
        <v>109</v>
      </c>
      <c r="B52" s="6" t="s">
        <v>110</v>
      </c>
      <c r="C52" s="6" t="s">
        <v>20</v>
      </c>
      <c r="D52" s="3">
        <v>38</v>
      </c>
      <c r="E52" s="3">
        <v>43</v>
      </c>
      <c r="F52" s="3">
        <v>89</v>
      </c>
      <c r="G52" s="4">
        <v>0.98</v>
      </c>
      <c r="H52" s="3">
        <f t="shared" si="3"/>
        <v>170</v>
      </c>
      <c r="I52" s="5">
        <f t="shared" si="1"/>
        <v>56.666666666666664</v>
      </c>
      <c r="J52" s="7" t="str">
        <f t="shared" si="4"/>
        <v>Pass</v>
      </c>
    </row>
    <row r="53" spans="1:10" x14ac:dyDescent="0.3">
      <c r="A53" s="6" t="s">
        <v>111</v>
      </c>
      <c r="B53" s="6" t="s">
        <v>112</v>
      </c>
      <c r="C53" s="6" t="s">
        <v>14</v>
      </c>
      <c r="D53" s="3">
        <v>55</v>
      </c>
      <c r="E53" s="3">
        <v>56</v>
      </c>
      <c r="F53" s="3">
        <v>43</v>
      </c>
      <c r="G53" s="4">
        <v>0.81</v>
      </c>
      <c r="H53" s="3">
        <f t="shared" si="3"/>
        <v>154</v>
      </c>
      <c r="I53" s="5">
        <f t="shared" si="1"/>
        <v>51.333333333333336</v>
      </c>
      <c r="J53" s="7" t="str">
        <f t="shared" si="4"/>
        <v>Pass</v>
      </c>
    </row>
    <row r="54" spans="1:10" x14ac:dyDescent="0.3">
      <c r="A54" s="6" t="s">
        <v>113</v>
      </c>
      <c r="B54" s="6" t="s">
        <v>114</v>
      </c>
      <c r="C54" s="6" t="s">
        <v>17</v>
      </c>
      <c r="D54" s="3">
        <v>72</v>
      </c>
      <c r="E54" s="3">
        <v>69</v>
      </c>
      <c r="F54" s="3">
        <v>62</v>
      </c>
      <c r="G54" s="4">
        <v>0.88</v>
      </c>
      <c r="H54" s="3">
        <f t="shared" si="3"/>
        <v>203</v>
      </c>
      <c r="I54" s="5">
        <f t="shared" si="1"/>
        <v>67.666666666666671</v>
      </c>
      <c r="J54" s="7" t="str">
        <f t="shared" si="4"/>
        <v>Pass</v>
      </c>
    </row>
  </sheetData>
  <mergeCells count="2">
    <mergeCell ref="A1:J1"/>
    <mergeCell ref="A2:J2"/>
  </mergeCells>
  <conditionalFormatting sqref="J5:J54">
    <cfRule type="expression" dxfId="3" priority="1">
      <formula>$J5="Pass"</formula>
    </cfRule>
    <cfRule type="expression" dxfId="2" priority="2">
      <formula>$J5="Needs Support"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66439-405C-42A8-975B-2138B1F07FE0}">
  <dimension ref="A1:L19"/>
  <sheetViews>
    <sheetView zoomScale="67" workbookViewId="0">
      <selection sqref="A1:J1"/>
    </sheetView>
  </sheetViews>
  <sheetFormatPr defaultRowHeight="14.4" x14ac:dyDescent="0.3"/>
  <cols>
    <col min="1" max="1" width="10.21875" customWidth="1"/>
    <col min="2" max="2" width="13.33203125" customWidth="1"/>
    <col min="3" max="3" width="25" customWidth="1"/>
    <col min="4" max="4" width="20.33203125" customWidth="1"/>
    <col min="5" max="7" width="15.77734375" customWidth="1"/>
    <col min="8" max="8" width="13" customWidth="1"/>
    <col min="9" max="9" width="15.21875" customWidth="1"/>
    <col min="10" max="10" width="15.77734375" customWidth="1"/>
    <col min="11" max="11" width="11.44140625" bestFit="1" customWidth="1"/>
    <col min="12" max="12" width="9" bestFit="1" customWidth="1"/>
  </cols>
  <sheetData>
    <row r="1" spans="1:12" ht="31.95" customHeight="1" x14ac:dyDescent="0.45">
      <c r="A1" s="38" t="s">
        <v>115</v>
      </c>
      <c r="B1" s="38"/>
      <c r="C1" s="38"/>
      <c r="D1" s="38"/>
      <c r="E1" s="38"/>
      <c r="F1" s="38"/>
      <c r="G1" s="38"/>
      <c r="H1" s="38"/>
      <c r="I1" s="38"/>
      <c r="J1" s="38"/>
    </row>
    <row r="2" spans="1:12" ht="19.95" customHeight="1" x14ac:dyDescent="0.3">
      <c r="A2" s="39" t="s">
        <v>116</v>
      </c>
      <c r="B2" s="39"/>
      <c r="C2" s="39"/>
      <c r="D2" s="39"/>
      <c r="E2" s="39"/>
      <c r="F2" s="39"/>
      <c r="G2" s="39"/>
      <c r="H2" s="39"/>
      <c r="I2" s="39"/>
      <c r="J2" s="39"/>
    </row>
    <row r="4" spans="1:12" x14ac:dyDescent="0.3">
      <c r="A4" s="1" t="s">
        <v>117</v>
      </c>
      <c r="B4" s="1" t="s">
        <v>118</v>
      </c>
      <c r="C4" s="1" t="s">
        <v>119</v>
      </c>
      <c r="D4" s="1" t="s">
        <v>120</v>
      </c>
      <c r="E4" s="1" t="s">
        <v>121</v>
      </c>
      <c r="F4" s="1" t="s">
        <v>122</v>
      </c>
      <c r="G4" s="1" t="s">
        <v>123</v>
      </c>
      <c r="H4" s="1" t="s">
        <v>124</v>
      </c>
      <c r="I4" s="1" t="s">
        <v>125</v>
      </c>
      <c r="J4" s="1" t="s">
        <v>126</v>
      </c>
      <c r="K4" s="1" t="s">
        <v>186</v>
      </c>
      <c r="L4" s="1" t="s">
        <v>185</v>
      </c>
    </row>
    <row r="5" spans="1:12" x14ac:dyDescent="0.3">
      <c r="A5" t="s">
        <v>127</v>
      </c>
      <c r="B5" t="s">
        <v>128</v>
      </c>
      <c r="C5" t="s">
        <v>129</v>
      </c>
      <c r="D5" t="s">
        <v>130</v>
      </c>
      <c r="E5" s="9">
        <v>46266</v>
      </c>
      <c r="F5" s="3">
        <v>2</v>
      </c>
      <c r="G5" s="9">
        <f>WORKDAY(E5,F5-1)</f>
        <v>46267</v>
      </c>
      <c r="H5" s="4">
        <v>1</v>
      </c>
      <c r="I5" t="s">
        <v>131</v>
      </c>
      <c r="J5" t="s">
        <v>132</v>
      </c>
      <c r="K5" s="8">
        <f t="shared" ref="K5:K19" si="0">E5</f>
        <v>46266</v>
      </c>
      <c r="L5" s="2">
        <f t="shared" ref="L5:L19" si="1">F5</f>
        <v>2</v>
      </c>
    </row>
    <row r="6" spans="1:12" x14ac:dyDescent="0.3">
      <c r="A6" t="s">
        <v>133</v>
      </c>
      <c r="B6" t="s">
        <v>128</v>
      </c>
      <c r="C6" t="s">
        <v>134</v>
      </c>
      <c r="D6" t="s">
        <v>135</v>
      </c>
      <c r="E6" s="9">
        <v>46268</v>
      </c>
      <c r="F6" s="3">
        <v>5</v>
      </c>
      <c r="G6" s="9">
        <f t="shared" ref="G6:G19" si="2">WORKDAY(E6,F6-1)</f>
        <v>46274</v>
      </c>
      <c r="H6" s="4">
        <v>0.8</v>
      </c>
      <c r="I6" t="s">
        <v>136</v>
      </c>
      <c r="J6" t="s">
        <v>127</v>
      </c>
      <c r="K6" s="8">
        <f t="shared" si="0"/>
        <v>46268</v>
      </c>
      <c r="L6" s="2">
        <f t="shared" si="1"/>
        <v>5</v>
      </c>
    </row>
    <row r="7" spans="1:12" x14ac:dyDescent="0.3">
      <c r="A7" t="s">
        <v>137</v>
      </c>
      <c r="B7" t="s">
        <v>138</v>
      </c>
      <c r="C7" t="s">
        <v>139</v>
      </c>
      <c r="D7" t="s">
        <v>140</v>
      </c>
      <c r="E7" s="9">
        <v>46275</v>
      </c>
      <c r="F7" s="3">
        <v>2</v>
      </c>
      <c r="G7" s="9">
        <f t="shared" si="2"/>
        <v>46276</v>
      </c>
      <c r="H7" s="4">
        <v>0.4</v>
      </c>
      <c r="I7" t="s">
        <v>136</v>
      </c>
      <c r="J7" t="s">
        <v>133</v>
      </c>
      <c r="K7" s="8">
        <f t="shared" si="0"/>
        <v>46275</v>
      </c>
      <c r="L7" s="2">
        <f t="shared" si="1"/>
        <v>2</v>
      </c>
    </row>
    <row r="8" spans="1:12" x14ac:dyDescent="0.3">
      <c r="A8" t="s">
        <v>141</v>
      </c>
      <c r="B8" t="s">
        <v>138</v>
      </c>
      <c r="C8" t="s">
        <v>142</v>
      </c>
      <c r="D8" t="s">
        <v>143</v>
      </c>
      <c r="E8" s="9">
        <v>46279</v>
      </c>
      <c r="F8" s="3">
        <v>6</v>
      </c>
      <c r="G8" s="9">
        <f t="shared" si="2"/>
        <v>46286</v>
      </c>
      <c r="H8" s="4">
        <v>0.15</v>
      </c>
      <c r="I8" t="s">
        <v>136</v>
      </c>
      <c r="J8" t="s">
        <v>137</v>
      </c>
      <c r="K8" s="8">
        <f t="shared" si="0"/>
        <v>46279</v>
      </c>
      <c r="L8" s="2">
        <f t="shared" si="1"/>
        <v>6</v>
      </c>
    </row>
    <row r="9" spans="1:12" x14ac:dyDescent="0.3">
      <c r="A9" t="s">
        <v>144</v>
      </c>
      <c r="B9" t="s">
        <v>145</v>
      </c>
      <c r="C9" t="s">
        <v>146</v>
      </c>
      <c r="D9" t="s">
        <v>147</v>
      </c>
      <c r="E9" s="9">
        <v>46279</v>
      </c>
      <c r="F9" s="3">
        <v>5</v>
      </c>
      <c r="G9" s="9">
        <f t="shared" si="2"/>
        <v>46283</v>
      </c>
      <c r="H9" s="4">
        <v>0.3</v>
      </c>
      <c r="I9" t="s">
        <v>136</v>
      </c>
      <c r="J9" t="s">
        <v>137</v>
      </c>
      <c r="K9" s="8">
        <f t="shared" si="0"/>
        <v>46279</v>
      </c>
      <c r="L9" s="2">
        <f t="shared" si="1"/>
        <v>5</v>
      </c>
    </row>
    <row r="10" spans="1:12" x14ac:dyDescent="0.3">
      <c r="A10" t="s">
        <v>148</v>
      </c>
      <c r="B10" t="s">
        <v>145</v>
      </c>
      <c r="C10" t="s">
        <v>149</v>
      </c>
      <c r="D10" t="s">
        <v>150</v>
      </c>
      <c r="E10" s="9">
        <v>46287</v>
      </c>
      <c r="F10" s="3">
        <v>4</v>
      </c>
      <c r="G10" s="9">
        <f t="shared" si="2"/>
        <v>46290</v>
      </c>
      <c r="H10" s="4">
        <v>0</v>
      </c>
      <c r="I10" t="s">
        <v>151</v>
      </c>
      <c r="J10" t="s">
        <v>141</v>
      </c>
      <c r="K10" s="8">
        <f t="shared" si="0"/>
        <v>46287</v>
      </c>
      <c r="L10" s="2">
        <f t="shared" si="1"/>
        <v>4</v>
      </c>
    </row>
    <row r="11" spans="1:12" x14ac:dyDescent="0.3">
      <c r="A11" t="s">
        <v>152</v>
      </c>
      <c r="B11" t="s">
        <v>153</v>
      </c>
      <c r="C11" t="s">
        <v>154</v>
      </c>
      <c r="D11" t="s">
        <v>155</v>
      </c>
      <c r="E11" s="9">
        <v>46293</v>
      </c>
      <c r="F11" s="3">
        <v>10</v>
      </c>
      <c r="G11" s="9">
        <f t="shared" si="2"/>
        <v>46304</v>
      </c>
      <c r="H11" s="4">
        <v>0</v>
      </c>
      <c r="I11" t="s">
        <v>151</v>
      </c>
      <c r="J11" t="s">
        <v>148</v>
      </c>
      <c r="K11" s="8">
        <f t="shared" si="0"/>
        <v>46293</v>
      </c>
      <c r="L11" s="2">
        <f t="shared" si="1"/>
        <v>10</v>
      </c>
    </row>
    <row r="12" spans="1:12" x14ac:dyDescent="0.3">
      <c r="A12" t="s">
        <v>156</v>
      </c>
      <c r="B12" t="s">
        <v>153</v>
      </c>
      <c r="C12" t="s">
        <v>157</v>
      </c>
      <c r="D12" t="s">
        <v>158</v>
      </c>
      <c r="E12" s="9">
        <v>46287</v>
      </c>
      <c r="F12" s="3">
        <v>10</v>
      </c>
      <c r="G12" s="9">
        <f t="shared" si="2"/>
        <v>46300</v>
      </c>
      <c r="H12" s="4">
        <v>0</v>
      </c>
      <c r="I12" t="s">
        <v>151</v>
      </c>
      <c r="J12" t="s">
        <v>144</v>
      </c>
      <c r="K12" s="8">
        <f t="shared" si="0"/>
        <v>46287</v>
      </c>
      <c r="L12" s="2">
        <f t="shared" si="1"/>
        <v>10</v>
      </c>
    </row>
    <row r="13" spans="1:12" x14ac:dyDescent="0.3">
      <c r="A13" t="s">
        <v>159</v>
      </c>
      <c r="B13" t="s">
        <v>153</v>
      </c>
      <c r="C13" t="s">
        <v>160</v>
      </c>
      <c r="D13" t="s">
        <v>161</v>
      </c>
      <c r="E13" s="9">
        <v>46307</v>
      </c>
      <c r="F13" s="3">
        <v>5</v>
      </c>
      <c r="G13" s="9">
        <f t="shared" si="2"/>
        <v>46311</v>
      </c>
      <c r="H13" s="4">
        <v>0</v>
      </c>
      <c r="I13" t="s">
        <v>151</v>
      </c>
      <c r="J13" t="s">
        <v>162</v>
      </c>
      <c r="K13" s="8">
        <f t="shared" si="0"/>
        <v>46307</v>
      </c>
      <c r="L13" s="2">
        <f t="shared" si="1"/>
        <v>5</v>
      </c>
    </row>
    <row r="14" spans="1:12" x14ac:dyDescent="0.3">
      <c r="A14" t="s">
        <v>163</v>
      </c>
      <c r="B14" t="s">
        <v>164</v>
      </c>
      <c r="C14" t="s">
        <v>165</v>
      </c>
      <c r="D14" t="s">
        <v>166</v>
      </c>
      <c r="E14" s="9">
        <v>46300</v>
      </c>
      <c r="F14" s="3">
        <v>5</v>
      </c>
      <c r="G14" s="9">
        <f t="shared" si="2"/>
        <v>46304</v>
      </c>
      <c r="H14" s="4">
        <v>0</v>
      </c>
      <c r="I14" t="s">
        <v>151</v>
      </c>
      <c r="J14" t="s">
        <v>167</v>
      </c>
      <c r="K14" s="8">
        <f t="shared" si="0"/>
        <v>46300</v>
      </c>
      <c r="L14" s="2">
        <f t="shared" si="1"/>
        <v>5</v>
      </c>
    </row>
    <row r="15" spans="1:12" x14ac:dyDescent="0.3">
      <c r="A15" t="s">
        <v>168</v>
      </c>
      <c r="B15" t="s">
        <v>164</v>
      </c>
      <c r="C15" t="s">
        <v>169</v>
      </c>
      <c r="D15" t="s">
        <v>170</v>
      </c>
      <c r="E15" s="9">
        <v>46314</v>
      </c>
      <c r="F15" s="3">
        <v>7</v>
      </c>
      <c r="G15" s="9">
        <f t="shared" si="2"/>
        <v>46322</v>
      </c>
      <c r="H15" s="4">
        <v>0</v>
      </c>
      <c r="I15" t="s">
        <v>151</v>
      </c>
      <c r="J15" t="s">
        <v>171</v>
      </c>
      <c r="K15" s="8">
        <f t="shared" si="0"/>
        <v>46314</v>
      </c>
      <c r="L15" s="2">
        <f t="shared" si="1"/>
        <v>7</v>
      </c>
    </row>
    <row r="16" spans="1:12" x14ac:dyDescent="0.3">
      <c r="A16" t="s">
        <v>172</v>
      </c>
      <c r="B16" t="s">
        <v>164</v>
      </c>
      <c r="C16" t="s">
        <v>173</v>
      </c>
      <c r="D16" t="s">
        <v>174</v>
      </c>
      <c r="E16" s="9">
        <v>46323</v>
      </c>
      <c r="F16" s="3">
        <v>5</v>
      </c>
      <c r="G16" s="9">
        <f t="shared" si="2"/>
        <v>46329</v>
      </c>
      <c r="H16" s="4">
        <v>0</v>
      </c>
      <c r="I16" t="s">
        <v>151</v>
      </c>
      <c r="J16" t="s">
        <v>168</v>
      </c>
      <c r="K16" s="8">
        <f t="shared" si="0"/>
        <v>46323</v>
      </c>
      <c r="L16" s="2">
        <f t="shared" si="1"/>
        <v>5</v>
      </c>
    </row>
    <row r="17" spans="1:12" x14ac:dyDescent="0.3">
      <c r="A17" t="s">
        <v>175</v>
      </c>
      <c r="B17" t="s">
        <v>176</v>
      </c>
      <c r="C17" t="s">
        <v>177</v>
      </c>
      <c r="D17" t="s">
        <v>178</v>
      </c>
      <c r="E17" s="9">
        <v>46323</v>
      </c>
      <c r="F17" s="3">
        <v>4</v>
      </c>
      <c r="G17" s="9">
        <f t="shared" si="2"/>
        <v>46328</v>
      </c>
      <c r="H17" s="4">
        <v>0</v>
      </c>
      <c r="I17" t="s">
        <v>151</v>
      </c>
      <c r="J17" t="s">
        <v>159</v>
      </c>
      <c r="K17" s="8">
        <f t="shared" si="0"/>
        <v>46323</v>
      </c>
      <c r="L17" s="2">
        <f t="shared" si="1"/>
        <v>4</v>
      </c>
    </row>
    <row r="18" spans="1:12" x14ac:dyDescent="0.3">
      <c r="A18" t="s">
        <v>179</v>
      </c>
      <c r="B18" t="s">
        <v>176</v>
      </c>
      <c r="C18" t="s">
        <v>180</v>
      </c>
      <c r="D18" t="s">
        <v>178</v>
      </c>
      <c r="E18" s="9">
        <v>46330</v>
      </c>
      <c r="F18" s="3">
        <v>2</v>
      </c>
      <c r="G18" s="9">
        <f t="shared" si="2"/>
        <v>46331</v>
      </c>
      <c r="H18" s="4">
        <v>0</v>
      </c>
      <c r="I18" t="s">
        <v>151</v>
      </c>
      <c r="J18" t="s">
        <v>181</v>
      </c>
      <c r="K18" s="8">
        <f t="shared" si="0"/>
        <v>46330</v>
      </c>
      <c r="L18" s="2">
        <f t="shared" si="1"/>
        <v>2</v>
      </c>
    </row>
    <row r="19" spans="1:12" x14ac:dyDescent="0.3">
      <c r="A19" t="s">
        <v>182</v>
      </c>
      <c r="B19" t="s">
        <v>183</v>
      </c>
      <c r="C19" t="s">
        <v>184</v>
      </c>
      <c r="D19" t="s">
        <v>130</v>
      </c>
      <c r="E19" s="9">
        <v>46332</v>
      </c>
      <c r="F19" s="3">
        <v>3</v>
      </c>
      <c r="G19" s="9">
        <f t="shared" si="2"/>
        <v>46336</v>
      </c>
      <c r="H19" s="4">
        <v>0</v>
      </c>
      <c r="I19" t="s">
        <v>151</v>
      </c>
      <c r="J19" t="s">
        <v>179</v>
      </c>
      <c r="K19" s="8">
        <f t="shared" si="0"/>
        <v>46332</v>
      </c>
      <c r="L19" s="2">
        <f t="shared" si="1"/>
        <v>3</v>
      </c>
    </row>
  </sheetData>
  <mergeCells count="2">
    <mergeCell ref="A1:J1"/>
    <mergeCell ref="A2:J2"/>
  </mergeCells>
  <conditionalFormatting sqref="H5:H19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{91564AB0-0F50-4E03-AF41-840552199ED3}</x14:id>
        </ext>
      </extLst>
    </cfRule>
  </conditionalFormatting>
  <conditionalFormatting sqref="I5:I19">
    <cfRule type="expression" dxfId="1" priority="2">
      <formula>$I5="Completed"</formula>
    </cfRule>
    <cfRule type="expression" dxfId="0" priority="3">
      <formula>$I5="In Progress"</formula>
    </cfRule>
  </conditionalFormatting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1564AB0-0F50-4E03-AF41-840552199ED3}">
            <x14:dataBar minLength="0" maxLength="100" negativeBarColorSameAsPositive="1" axisPosition="none">
              <x14:cfvo type="min"/>
              <x14:cfvo type="max"/>
            </x14:dataBar>
          </x14:cfRule>
          <xm:sqref>H5:H19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5A491-CF69-43C8-B890-DB105E2221B1}">
  <dimension ref="B2:S19"/>
  <sheetViews>
    <sheetView tabSelected="1" zoomScale="86" workbookViewId="0">
      <selection activeCell="I10" sqref="I10"/>
    </sheetView>
  </sheetViews>
  <sheetFormatPr defaultRowHeight="14.4" x14ac:dyDescent="0.3"/>
  <cols>
    <col min="2" max="2" width="13.88671875" customWidth="1"/>
    <col min="3" max="3" width="14.44140625" customWidth="1"/>
    <col min="4" max="4" width="26.88671875" customWidth="1"/>
    <col min="5" max="5" width="17.5546875" customWidth="1"/>
    <col min="6" max="6" width="20.33203125" customWidth="1"/>
    <col min="16" max="16" width="14.77734375" customWidth="1"/>
    <col min="17" max="17" width="24.33203125" customWidth="1"/>
    <col min="18" max="18" width="18.21875" customWidth="1"/>
    <col min="19" max="19" width="16.109375" customWidth="1"/>
  </cols>
  <sheetData>
    <row r="2" spans="2:19" x14ac:dyDescent="0.3">
      <c r="B2" s="11" t="s">
        <v>187</v>
      </c>
      <c r="C2" s="11" t="s">
        <v>188</v>
      </c>
      <c r="D2" s="11" t="s">
        <v>189</v>
      </c>
      <c r="E2" s="11"/>
      <c r="F2" s="11" t="s">
        <v>190</v>
      </c>
      <c r="G2" s="10"/>
    </row>
    <row r="3" spans="2:19" x14ac:dyDescent="0.3">
      <c r="B3" s="12">
        <v>1</v>
      </c>
      <c r="C3" s="12" t="s">
        <v>191</v>
      </c>
      <c r="D3" s="12">
        <v>3</v>
      </c>
      <c r="E3" s="12" t="s">
        <v>192</v>
      </c>
      <c r="F3" s="12">
        <v>0</v>
      </c>
      <c r="G3" s="10"/>
    </row>
    <row r="4" spans="2:19" x14ac:dyDescent="0.3">
      <c r="B4" s="12">
        <v>2</v>
      </c>
      <c r="C4" s="12" t="s">
        <v>193</v>
      </c>
      <c r="D4" s="12">
        <v>1</v>
      </c>
      <c r="E4" s="12" t="s">
        <v>194</v>
      </c>
      <c r="F4" s="12">
        <v>1</v>
      </c>
      <c r="G4" s="10"/>
    </row>
    <row r="5" spans="2:19" x14ac:dyDescent="0.3">
      <c r="B5" s="12">
        <v>3</v>
      </c>
      <c r="C5" s="12" t="s">
        <v>195</v>
      </c>
      <c r="D5" s="12">
        <v>3</v>
      </c>
      <c r="E5" s="12" t="s">
        <v>193</v>
      </c>
      <c r="F5" s="12" t="s">
        <v>196</v>
      </c>
      <c r="G5" s="10"/>
      <c r="P5" s="16" t="s">
        <v>218</v>
      </c>
      <c r="Q5" s="16" t="s">
        <v>188</v>
      </c>
      <c r="R5" s="16" t="s">
        <v>204</v>
      </c>
      <c r="S5" s="16" t="s">
        <v>219</v>
      </c>
    </row>
    <row r="6" spans="2:19" x14ac:dyDescent="0.3">
      <c r="B6" s="12">
        <v>4</v>
      </c>
      <c r="C6" s="12" t="s">
        <v>197</v>
      </c>
      <c r="D6" s="12">
        <v>1</v>
      </c>
      <c r="E6" s="12" t="s">
        <v>195</v>
      </c>
      <c r="F6" s="12" t="s">
        <v>198</v>
      </c>
      <c r="G6" s="10"/>
      <c r="P6" s="17">
        <v>1</v>
      </c>
      <c r="Q6" s="17" t="s">
        <v>209</v>
      </c>
      <c r="R6" s="17">
        <v>15</v>
      </c>
      <c r="S6" s="17">
        <v>0</v>
      </c>
    </row>
    <row r="7" spans="2:19" ht="28.8" x14ac:dyDescent="0.3">
      <c r="B7" s="12">
        <v>5</v>
      </c>
      <c r="C7" s="12" t="s">
        <v>199</v>
      </c>
      <c r="D7" s="12">
        <v>2</v>
      </c>
      <c r="E7" s="12" t="s">
        <v>197</v>
      </c>
      <c r="F7" s="12" t="s">
        <v>200</v>
      </c>
      <c r="G7" s="10"/>
      <c r="P7" s="17">
        <v>2</v>
      </c>
      <c r="Q7" s="17" t="s">
        <v>210</v>
      </c>
      <c r="R7" s="17">
        <v>4</v>
      </c>
      <c r="S7" s="17">
        <v>1</v>
      </c>
    </row>
    <row r="8" spans="2:19" x14ac:dyDescent="0.3">
      <c r="B8" s="12">
        <v>6</v>
      </c>
      <c r="C8" s="12" t="s">
        <v>201</v>
      </c>
      <c r="D8" s="12">
        <v>7</v>
      </c>
      <c r="E8" s="12" t="s">
        <v>194</v>
      </c>
      <c r="F8" s="12">
        <v>1</v>
      </c>
      <c r="G8" s="10"/>
      <c r="P8" s="17">
        <v>3</v>
      </c>
      <c r="Q8" s="17" t="s">
        <v>211</v>
      </c>
      <c r="R8" s="17">
        <v>8</v>
      </c>
      <c r="S8" s="17">
        <v>2</v>
      </c>
    </row>
    <row r="9" spans="2:19" x14ac:dyDescent="0.3">
      <c r="B9" s="12">
        <v>7</v>
      </c>
      <c r="C9" s="12" t="s">
        <v>202</v>
      </c>
      <c r="D9" s="12">
        <v>4</v>
      </c>
      <c r="E9" s="12" t="s">
        <v>201</v>
      </c>
      <c r="F9" s="12" t="s">
        <v>203</v>
      </c>
      <c r="G9" s="10"/>
      <c r="P9" s="17">
        <v>4</v>
      </c>
      <c r="Q9" s="17" t="s">
        <v>212</v>
      </c>
      <c r="R9" s="17">
        <v>5</v>
      </c>
      <c r="S9" s="17">
        <v>2</v>
      </c>
    </row>
    <row r="10" spans="2:19" x14ac:dyDescent="0.3">
      <c r="P10" s="17">
        <v>5</v>
      </c>
      <c r="Q10" s="17" t="s">
        <v>213</v>
      </c>
      <c r="R10" s="17">
        <v>7</v>
      </c>
      <c r="S10" s="17">
        <v>2</v>
      </c>
    </row>
    <row r="11" spans="2:19" x14ac:dyDescent="0.3">
      <c r="P11" s="17">
        <v>6</v>
      </c>
      <c r="Q11" s="17" t="s">
        <v>214</v>
      </c>
      <c r="R11" s="17">
        <v>4</v>
      </c>
      <c r="S11" s="17">
        <v>5</v>
      </c>
    </row>
    <row r="12" spans="2:19" x14ac:dyDescent="0.3">
      <c r="B12" s="14" t="s">
        <v>205</v>
      </c>
      <c r="C12" s="13" t="s">
        <v>206</v>
      </c>
      <c r="D12" s="14" t="s">
        <v>207</v>
      </c>
      <c r="E12" s="13" t="s">
        <v>208</v>
      </c>
      <c r="P12" s="17">
        <v>7</v>
      </c>
      <c r="Q12" s="17" t="s">
        <v>215</v>
      </c>
      <c r="R12" s="17">
        <v>3</v>
      </c>
      <c r="S12" s="17">
        <v>3</v>
      </c>
    </row>
    <row r="13" spans="2:19" x14ac:dyDescent="0.3">
      <c r="B13" s="15">
        <v>0</v>
      </c>
      <c r="C13" s="15">
        <f>B13+E13</f>
        <v>1</v>
      </c>
      <c r="D13" s="12" t="s">
        <v>191</v>
      </c>
      <c r="E13" s="15">
        <v>1</v>
      </c>
      <c r="P13" s="17">
        <v>8</v>
      </c>
      <c r="Q13" s="17" t="s">
        <v>216</v>
      </c>
      <c r="R13" s="17">
        <v>2</v>
      </c>
      <c r="S13" s="17" t="s">
        <v>217</v>
      </c>
    </row>
    <row r="14" spans="2:19" x14ac:dyDescent="0.3">
      <c r="B14" s="15">
        <f>C13</f>
        <v>1</v>
      </c>
      <c r="C14" s="15">
        <f t="shared" ref="C14:C17" si="0">B14+E14</f>
        <v>2</v>
      </c>
      <c r="D14" s="12" t="s">
        <v>193</v>
      </c>
      <c r="E14" s="15">
        <v>1</v>
      </c>
    </row>
    <row r="15" spans="2:19" x14ac:dyDescent="0.3">
      <c r="B15" s="15">
        <f>C14</f>
        <v>2</v>
      </c>
      <c r="C15" s="15">
        <f t="shared" si="0"/>
        <v>5</v>
      </c>
      <c r="D15" s="12" t="s">
        <v>195</v>
      </c>
      <c r="E15" s="15">
        <v>3</v>
      </c>
    </row>
    <row r="16" spans="2:19" x14ac:dyDescent="0.3">
      <c r="B16" s="15">
        <f>C15</f>
        <v>5</v>
      </c>
      <c r="C16" s="15">
        <f t="shared" si="0"/>
        <v>6</v>
      </c>
      <c r="D16" s="12" t="s">
        <v>197</v>
      </c>
      <c r="E16" s="15">
        <v>1</v>
      </c>
    </row>
    <row r="17" spans="2:5" x14ac:dyDescent="0.3">
      <c r="B17" s="15">
        <f>C16</f>
        <v>6</v>
      </c>
      <c r="C17" s="15">
        <f t="shared" si="0"/>
        <v>8</v>
      </c>
      <c r="D17" s="12" t="s">
        <v>199</v>
      </c>
      <c r="E17" s="15">
        <v>2</v>
      </c>
    </row>
    <row r="18" spans="2:5" x14ac:dyDescent="0.3">
      <c r="B18" s="15">
        <f>C13</f>
        <v>1</v>
      </c>
      <c r="C18" s="15">
        <f>B18+E18</f>
        <v>8</v>
      </c>
      <c r="D18" s="12" t="s">
        <v>201</v>
      </c>
      <c r="E18" s="15">
        <f>SUM(E14:E17)</f>
        <v>7</v>
      </c>
    </row>
    <row r="19" spans="2:5" x14ac:dyDescent="0.3">
      <c r="B19" s="15">
        <f>C18</f>
        <v>8</v>
      </c>
      <c r="C19" s="15">
        <f>B19+E19</f>
        <v>12</v>
      </c>
      <c r="D19" s="12" t="s">
        <v>202</v>
      </c>
      <c r="E19" s="15">
        <v>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17729-DFDF-41B2-960D-16CE03A5FCBE}">
  <dimension ref="A1:I11"/>
  <sheetViews>
    <sheetView zoomScale="74" zoomScaleNormal="70" workbookViewId="0">
      <selection activeCell="L18" sqref="L18"/>
    </sheetView>
  </sheetViews>
  <sheetFormatPr defaultRowHeight="14.4" x14ac:dyDescent="0.3"/>
  <cols>
    <col min="1" max="1" width="11.109375" customWidth="1"/>
    <col min="2" max="2" width="37" customWidth="1"/>
    <col min="3" max="3" width="16.6640625" customWidth="1"/>
    <col min="4" max="4" width="19.44140625" customWidth="1"/>
    <col min="5" max="5" width="4.109375" customWidth="1"/>
    <col min="6" max="7" width="13.88671875" customWidth="1"/>
    <col min="8" max="8" width="37" customWidth="1"/>
    <col min="9" max="9" width="16.6640625" customWidth="1"/>
  </cols>
  <sheetData>
    <row r="1" spans="1:9" ht="30" customHeight="1" x14ac:dyDescent="0.3">
      <c r="A1" s="40" t="s">
        <v>220</v>
      </c>
      <c r="B1" s="40"/>
      <c r="C1" s="40"/>
      <c r="D1" s="40"/>
      <c r="E1" s="40"/>
      <c r="F1" s="40"/>
      <c r="G1" s="40"/>
      <c r="H1" s="40"/>
      <c r="I1" s="40"/>
    </row>
    <row r="2" spans="1:9" ht="28.05" customHeight="1" x14ac:dyDescent="0.3">
      <c r="A2" s="41" t="s">
        <v>221</v>
      </c>
      <c r="B2" s="41"/>
      <c r="C2" s="41"/>
      <c r="D2" s="41"/>
      <c r="E2" s="41"/>
      <c r="F2" s="41"/>
      <c r="G2" s="41"/>
      <c r="H2" s="41"/>
      <c r="I2" s="41"/>
    </row>
    <row r="3" spans="1:9" ht="22.05" customHeight="1" x14ac:dyDescent="0.3">
      <c r="A3" s="18" t="s">
        <v>117</v>
      </c>
      <c r="B3" s="19" t="s">
        <v>207</v>
      </c>
      <c r="C3" s="19" t="s">
        <v>122</v>
      </c>
      <c r="D3" s="20" t="s">
        <v>222</v>
      </c>
      <c r="E3" s="10"/>
      <c r="F3" s="18" t="s">
        <v>223</v>
      </c>
      <c r="G3" s="19" t="s">
        <v>224</v>
      </c>
      <c r="H3" s="19" t="s">
        <v>207</v>
      </c>
      <c r="I3" s="20" t="s">
        <v>122</v>
      </c>
    </row>
    <row r="4" spans="1:9" ht="30" customHeight="1" x14ac:dyDescent="0.3">
      <c r="A4" s="21">
        <v>1</v>
      </c>
      <c r="B4" s="22" t="s">
        <v>209</v>
      </c>
      <c r="C4" s="23">
        <v>5</v>
      </c>
      <c r="D4" s="24">
        <v>0</v>
      </c>
      <c r="E4" s="10"/>
      <c r="F4" s="21">
        <f>0</f>
        <v>0</v>
      </c>
      <c r="G4" s="23">
        <f t="shared" ref="G4:G11" si="0">F4+I4</f>
        <v>5</v>
      </c>
      <c r="H4" s="22" t="str">
        <f t="shared" ref="H4:I11" si="1">B4</f>
        <v>Market Research</v>
      </c>
      <c r="I4" s="25">
        <f t="shared" si="1"/>
        <v>5</v>
      </c>
    </row>
    <row r="5" spans="1:9" ht="30" customHeight="1" x14ac:dyDescent="0.3">
      <c r="A5" s="26">
        <v>2</v>
      </c>
      <c r="B5" s="27" t="s">
        <v>210</v>
      </c>
      <c r="C5" s="28">
        <v>4</v>
      </c>
      <c r="D5" s="29">
        <v>1</v>
      </c>
      <c r="E5" s="10"/>
      <c r="F5" s="26" cm="1">
        <f t="array" ref="F5">IF(D5=0,0,MAX(_xlfn._xlws.FILTER($G$4:G4,ISNUMBER(SEARCH(","&amp;$A$4:A4&amp;",",","&amp;SUBSTITUTE(D5," ","")&amp;",")))))</f>
        <v>5</v>
      </c>
      <c r="G5" s="28">
        <f t="shared" si="0"/>
        <v>9</v>
      </c>
      <c r="H5" s="27" t="str">
        <f t="shared" si="1"/>
        <v>Product Design &amp; Function Prototype</v>
      </c>
      <c r="I5" s="30">
        <f t="shared" si="1"/>
        <v>4</v>
      </c>
    </row>
    <row r="6" spans="1:9" ht="30" customHeight="1" x14ac:dyDescent="0.3">
      <c r="A6" s="21">
        <v>3</v>
      </c>
      <c r="B6" s="22" t="s">
        <v>211</v>
      </c>
      <c r="C6" s="23">
        <v>6</v>
      </c>
      <c r="D6" s="24">
        <v>2</v>
      </c>
      <c r="E6" s="10"/>
      <c r="F6" s="21" cm="1">
        <f t="array" ref="F6">IF(D6=0,0,MAX(_xlfn._xlws.FILTER($G$4:G5,ISNUMBER(SEARCH(","&amp;$A$4:A5&amp;",",","&amp;SUBSTITUTE(D6," ","")&amp;",")))))</f>
        <v>9</v>
      </c>
      <c r="G6" s="23">
        <f t="shared" si="0"/>
        <v>15</v>
      </c>
      <c r="H6" s="22" t="str">
        <f t="shared" si="1"/>
        <v>Pricing Strategy</v>
      </c>
      <c r="I6" s="25">
        <f t="shared" si="1"/>
        <v>6</v>
      </c>
    </row>
    <row r="7" spans="1:9" ht="30" customHeight="1" x14ac:dyDescent="0.3">
      <c r="A7" s="26">
        <v>4</v>
      </c>
      <c r="B7" s="27" t="s">
        <v>212</v>
      </c>
      <c r="C7" s="28">
        <v>5</v>
      </c>
      <c r="D7" s="29">
        <v>2</v>
      </c>
      <c r="E7" s="10"/>
      <c r="F7" s="26">
        <f>IF(D7=0,0,MAX(_xlfn._xlws.FILTER($G$4:G6,ISNUMBER(SEARCH(N6,","&amp;SUBSTITUTE(D7," ","")&amp;",")))))</f>
        <v>15</v>
      </c>
      <c r="G7" s="28">
        <f t="shared" si="0"/>
        <v>20</v>
      </c>
      <c r="H7" s="27" t="str">
        <f t="shared" si="1"/>
        <v>Packaging Design</v>
      </c>
      <c r="I7" s="30">
        <f t="shared" si="1"/>
        <v>5</v>
      </c>
    </row>
    <row r="8" spans="1:9" ht="30" customHeight="1" x14ac:dyDescent="0.3">
      <c r="A8" s="21">
        <v>5</v>
      </c>
      <c r="B8" s="22" t="s">
        <v>213</v>
      </c>
      <c r="C8" s="23">
        <v>7</v>
      </c>
      <c r="D8" s="24">
        <v>2</v>
      </c>
      <c r="E8" s="10"/>
      <c r="F8" s="21" cm="1">
        <f t="array" ref="F8">IF(D8=0,0,MAX(_xlfn._xlws.FILTER($G$4:G7,ISNUMBER(SEARCH(","&amp;$A$4:A7&amp;",",","&amp;SUBSTITUTE(D8," ","")&amp;",")))))</f>
        <v>9</v>
      </c>
      <c r="G8" s="23">
        <f t="shared" si="0"/>
        <v>16</v>
      </c>
      <c r="H8" s="22" t="str">
        <f t="shared" si="1"/>
        <v>Marketing Content Creation</v>
      </c>
      <c r="I8" s="25">
        <f t="shared" si="1"/>
        <v>7</v>
      </c>
    </row>
    <row r="9" spans="1:9" ht="30" customHeight="1" x14ac:dyDescent="0.3">
      <c r="A9" s="26">
        <v>6</v>
      </c>
      <c r="B9" s="27" t="s">
        <v>214</v>
      </c>
      <c r="C9" s="28">
        <v>4</v>
      </c>
      <c r="D9" s="29">
        <v>5</v>
      </c>
      <c r="E9" s="10"/>
      <c r="F9" s="26" cm="1">
        <f t="array" ref="F9">IF(D9=0,0,MAX(_xlfn._xlws.FILTER($G$4:G8,ISNUMBER(SEARCH(","&amp;$A$4:A8&amp;",",","&amp;SUBSTITUTE(D9," ","")&amp;",")))))</f>
        <v>16</v>
      </c>
      <c r="G9" s="28">
        <f t="shared" si="0"/>
        <v>20</v>
      </c>
      <c r="H9" s="27" t="str">
        <f t="shared" si="1"/>
        <v>Digital Advertising Setup</v>
      </c>
      <c r="I9" s="30">
        <f t="shared" si="1"/>
        <v>4</v>
      </c>
    </row>
    <row r="10" spans="1:9" ht="30" customHeight="1" x14ac:dyDescent="0.3">
      <c r="A10" s="21">
        <v>7</v>
      </c>
      <c r="B10" s="22" t="s">
        <v>215</v>
      </c>
      <c r="C10" s="23">
        <v>3</v>
      </c>
      <c r="D10" s="24">
        <v>3</v>
      </c>
      <c r="E10" s="10"/>
      <c r="F10" s="21" cm="1">
        <f t="array" ref="F10">IF(D10=0,0,MAX(_xlfn._xlws.FILTER($G$4:G9,ISNUMBER(SEARCH(","&amp;$A$4:A9&amp;",",","&amp;SUBSTITUTE(D10," ","")&amp;",")))))</f>
        <v>15</v>
      </c>
      <c r="G10" s="23">
        <f t="shared" si="0"/>
        <v>18</v>
      </c>
      <c r="H10" s="22" t="str">
        <f t="shared" si="1"/>
        <v>Sales Team Training</v>
      </c>
      <c r="I10" s="25">
        <f t="shared" si="1"/>
        <v>3</v>
      </c>
    </row>
    <row r="11" spans="1:9" ht="30" customHeight="1" x14ac:dyDescent="0.3">
      <c r="A11" s="31">
        <v>8</v>
      </c>
      <c r="B11" s="32" t="s">
        <v>216</v>
      </c>
      <c r="C11" s="33">
        <v>2</v>
      </c>
      <c r="D11" s="34" t="s">
        <v>217</v>
      </c>
      <c r="E11" s="10"/>
      <c r="F11" s="31" cm="1">
        <f t="array" ref="F11">IF(D11=0,0,MAX(_xlfn._xlws.FILTER($G$4:G10,ISNUMBER(SEARCH(","&amp;$A$4:A10&amp;",",","&amp;SUBSTITUTE(D11," ","")&amp;",")))))</f>
        <v>20</v>
      </c>
      <c r="G11" s="33">
        <f t="shared" si="0"/>
        <v>22</v>
      </c>
      <c r="H11" s="32" t="str">
        <f t="shared" si="1"/>
        <v>Product Launch Event</v>
      </c>
      <c r="I11" s="35">
        <f t="shared" si="1"/>
        <v>2</v>
      </c>
    </row>
  </sheetData>
  <mergeCells count="2">
    <mergeCell ref="A1:I1"/>
    <mergeCell ref="A2:I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Student Grades</vt:lpstr>
      <vt:lpstr>Project Schedule</vt:lpstr>
      <vt:lpstr>Manufacturing Schedule</vt:lpstr>
      <vt:lpstr>Product Launch Schedule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Darshan Bhardwaj</dc:creator>
  <cp:lastModifiedBy>Darshan Bhardwaj</cp:lastModifiedBy>
  <dcterms:created xsi:type="dcterms:W3CDTF">2026-08-29T06:46:10Z</dcterms:created>
  <dcterms:modified xsi:type="dcterms:W3CDTF">2026-09-01T08:03:00Z</dcterms:modified>
</cp:coreProperties>
</file>